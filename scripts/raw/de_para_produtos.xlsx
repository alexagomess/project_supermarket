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CONFIG" sheetId="2" r:id="rId5"/>
  </sheets>
  <definedNames>
    <definedName hidden="1" localSheetId="0" name="_xlnm._FilterDatabase">BASE!$A$1:$E$1000</definedName>
    <definedName hidden="1" localSheetId="1" name="_xlnm._FilterDatabase">CONFIG!$A$1:$B$246</definedName>
  </definedNames>
  <calcPr/>
</workbook>
</file>

<file path=xl/sharedStrings.xml><?xml version="1.0" encoding="utf-8"?>
<sst xmlns="http://schemas.openxmlformats.org/spreadsheetml/2006/main" count="1721" uniqueCount="808">
  <si>
    <t>descricao</t>
  </si>
  <si>
    <t>tipo_produto</t>
  </si>
  <si>
    <t>marca</t>
  </si>
  <si>
    <t>categoria</t>
  </si>
  <si>
    <t>sub_categoria</t>
  </si>
  <si>
    <t>ABOBORA CABOTIA</t>
  </si>
  <si>
    <t>ABOBORA</t>
  </si>
  <si>
    <t>LEGUMES</t>
  </si>
  <si>
    <t>ABOBORA CABOTIA KG</t>
  </si>
  <si>
    <t>ABOBORA PAULIST</t>
  </si>
  <si>
    <t>ABS INTIMUS TRI</t>
  </si>
  <si>
    <t>ABSORVENTE</t>
  </si>
  <si>
    <t>ABSORVENTE POISE PRO</t>
  </si>
  <si>
    <t>ACEM KG</t>
  </si>
  <si>
    <t>ACEM</t>
  </si>
  <si>
    <t>CARNES</t>
  </si>
  <si>
    <t>AC REF UNIAO 1KG</t>
  </si>
  <si>
    <t>ACUCAR REFINADO</t>
  </si>
  <si>
    <t>UNIAO</t>
  </si>
  <si>
    <t>ACUCAR CRISTAL DELTA</t>
  </si>
  <si>
    <t>ACUCAR CRISTAL</t>
  </si>
  <si>
    <t>DELTA</t>
  </si>
  <si>
    <t>ACUCAR MASCAVO VITAPAO 500GR</t>
  </si>
  <si>
    <t>ACUCAR MASCAVO</t>
  </si>
  <si>
    <t>VITAPAO</t>
  </si>
  <si>
    <t>ACUC CR DELTA 2KG</t>
  </si>
  <si>
    <t>ADESIVOS STICKERS U.N</t>
  </si>
  <si>
    <t>ADESIVO</t>
  </si>
  <si>
    <t>AG CRYSTAL C/G 500ML</t>
  </si>
  <si>
    <t>AGUA COM GAS</t>
  </si>
  <si>
    <t>AG MIN CRYST C/G 500</t>
  </si>
  <si>
    <t>AGUA MIN CRYSTA</t>
  </si>
  <si>
    <t>AGUA MIN CRYSTAL C/G</t>
  </si>
  <si>
    <t>AGUA MIN MINEIRO 500</t>
  </si>
  <si>
    <t>AGUA SANIT CLASSIC 2LI</t>
  </si>
  <si>
    <t>DESINFETANTE</t>
  </si>
  <si>
    <t>ALCATRA</t>
  </si>
  <si>
    <t>ALCATRA KG</t>
  </si>
  <si>
    <t>ALFACE C</t>
  </si>
  <si>
    <t>ALFACE</t>
  </si>
  <si>
    <t>VERDURA</t>
  </si>
  <si>
    <t>ALFACE CRESPA HIDROP</t>
  </si>
  <si>
    <t>ALFACE ROMANA CAIXA QUALITY</t>
  </si>
  <si>
    <t>ALHO</t>
  </si>
  <si>
    <t>ALHO CAMPEAO 200G TRITURADO</t>
  </si>
  <si>
    <t>ALHO KG</t>
  </si>
  <si>
    <t>ALHO -NACIONAL</t>
  </si>
  <si>
    <t>ALHO NACIONAL GRAUDO</t>
  </si>
  <si>
    <t>ALHO PIRATA DESID 20</t>
  </si>
  <si>
    <t>ALHO PORO BELGUSTO</t>
  </si>
  <si>
    <t>ALHO ROXINHO TR</t>
  </si>
  <si>
    <t>ALMONDEGA BOVINA PT 900G SADIA</t>
  </si>
  <si>
    <t>ALMONDEGA</t>
  </si>
  <si>
    <t>SADIA</t>
  </si>
  <si>
    <t>ALVEJ PO VANISH SACHE 400GR PINK</t>
  </si>
  <si>
    <t>VANISH</t>
  </si>
  <si>
    <t>AMAC ROUPA CONC DOWNY GF 1 5L PRIMAVERA</t>
  </si>
  <si>
    <t>AMACIANTE</t>
  </si>
  <si>
    <t>DOWNY</t>
  </si>
  <si>
    <t>AMEIXA NACIONAL KG</t>
  </si>
  <si>
    <t>AMEIXA</t>
  </si>
  <si>
    <t>FRUTAS</t>
  </si>
  <si>
    <t>AMENDOA BEN CRUA 110</t>
  </si>
  <si>
    <t>AMENDOA</t>
  </si>
  <si>
    <t>AMENDOA S/C TORRADA</t>
  </si>
  <si>
    <t>AMENDOA VILA OLIVA 150GR S/CASCA</t>
  </si>
  <si>
    <t>AMIDO MIL MAIZE 200G</t>
  </si>
  <si>
    <t>AMIDO DE MILHO</t>
  </si>
  <si>
    <t>ARROZ VASCONCELOS 5KG AG T1</t>
  </si>
  <si>
    <t>ARROZ</t>
  </si>
  <si>
    <t>VASCONCELOS</t>
  </si>
  <si>
    <t>ASA FGO RESF GRANEL</t>
  </si>
  <si>
    <t>ASA DE FRANGO</t>
  </si>
  <si>
    <t>ASPARGOS</t>
  </si>
  <si>
    <t>ASPARGO</t>
  </si>
  <si>
    <t>ASSADEIRA ALUMINIO C</t>
  </si>
  <si>
    <t>ASSADEIRA</t>
  </si>
  <si>
    <t>ATUM GDC SOL 170</t>
  </si>
  <si>
    <t>ATUM</t>
  </si>
  <si>
    <t>GOMES</t>
  </si>
  <si>
    <t>ATUM GOMES COSTA 170GR SOL NATURAL</t>
  </si>
  <si>
    <t>ATUM NATURAL</t>
  </si>
  <si>
    <t>ATUM GOMES SOLIDO 17</t>
  </si>
  <si>
    <t>ATUM SOLIDO</t>
  </si>
  <si>
    <t>AVEIA FLOCO QUA</t>
  </si>
  <si>
    <t>AVEIA EM FLOCOS</t>
  </si>
  <si>
    <t>QUAKER</t>
  </si>
  <si>
    <t>AVEIA FLO QUAKER 200</t>
  </si>
  <si>
    <t>AVEIA KODILAR 500G</t>
  </si>
  <si>
    <t>AVEIA</t>
  </si>
  <si>
    <t>KODILAR</t>
  </si>
  <si>
    <t>AVEIA QUAK 450G FINO</t>
  </si>
  <si>
    <t>AVEIA FINA</t>
  </si>
  <si>
    <t>AVEIA QUAKER 450G</t>
  </si>
  <si>
    <t>AZEI ANDORINHA 500ML</t>
  </si>
  <si>
    <t>AZEITE</t>
  </si>
  <si>
    <t>ANDORINHA</t>
  </si>
  <si>
    <t>BACON DEF FAT PERD</t>
  </si>
  <si>
    <t>BACON</t>
  </si>
  <si>
    <t>BACON DEFUMADO FATIADO 0 25KG</t>
  </si>
  <si>
    <t>BALA DORI GOMETS 500</t>
  </si>
  <si>
    <t>BALA</t>
  </si>
  <si>
    <t>BALA FINI MARSH 80G</t>
  </si>
  <si>
    <t>BANANA DA TERRA</t>
  </si>
  <si>
    <t>BANANA DA TERRA KG</t>
  </si>
  <si>
    <t>BANANA DESID. CHIPS  NATURAL  / FRACIONADO</t>
  </si>
  <si>
    <t>BANANA DESIDRATADA</t>
  </si>
  <si>
    <t>BANANA MACA KG</t>
  </si>
  <si>
    <t>BANANA MACA</t>
  </si>
  <si>
    <t>BANANA NANICA CRFO K</t>
  </si>
  <si>
    <t>BANANA NANICA</t>
  </si>
  <si>
    <t>BANANA NANICA EXT KG</t>
  </si>
  <si>
    <t>BANANA NANICA K</t>
  </si>
  <si>
    <t>BANANA NANICA KG</t>
  </si>
  <si>
    <t>BANANA NANICA - KG</t>
  </si>
  <si>
    <t>BANANA PRATA</t>
  </si>
  <si>
    <t>BANANA PRATA / NANICA</t>
  </si>
  <si>
    <t>BATATA INGL</t>
  </si>
  <si>
    <t>BATATA INGLESA</t>
  </si>
  <si>
    <t>BATATA KG</t>
  </si>
  <si>
    <t>BATATA</t>
  </si>
  <si>
    <t>BATATA LAVADA KG</t>
  </si>
  <si>
    <t>BATATA MONALISA CRFO</t>
  </si>
  <si>
    <t>BATATA PALHA ELMA CHIPS 205G FINA</t>
  </si>
  <si>
    <t>BATATA PALHA</t>
  </si>
  <si>
    <t>ELMA CHIPS</t>
  </si>
  <si>
    <t>BATATA PIRULITO  PCT - 1 KG</t>
  </si>
  <si>
    <t>BAT PALH YOKI 100G</t>
  </si>
  <si>
    <t>BEB EN MONST 473ML</t>
  </si>
  <si>
    <t>ENERGETICO</t>
  </si>
  <si>
    <t>BEBIBA ATDC BAR</t>
  </si>
  <si>
    <t>LEITE BARISTA</t>
  </si>
  <si>
    <t>ITALAC</t>
  </si>
  <si>
    <t>BETERRABA BENAS 700G</t>
  </si>
  <si>
    <t>BETERRABA</t>
  </si>
  <si>
    <t>BETERRABA KG</t>
  </si>
  <si>
    <t>BICARBONATO KODIL 60</t>
  </si>
  <si>
    <t>BICARBONATO</t>
  </si>
  <si>
    <t>BICARB  PACHA 500G</t>
  </si>
  <si>
    <t>PACHA</t>
  </si>
  <si>
    <t>BIFE ALCATRA CRFO KG</t>
  </si>
  <si>
    <t>BIFINHO DOGUITOS 65GR CARNE</t>
  </si>
  <si>
    <t>BIFINHO DOG</t>
  </si>
  <si>
    <t>DOGUITOS</t>
  </si>
  <si>
    <t>BISC POLVILHO VOVO CLARA 150GR ARGO QUEIJO</t>
  </si>
  <si>
    <t>BISCOITO POLVILHO</t>
  </si>
  <si>
    <t>VOVO CLARA</t>
  </si>
  <si>
    <t>BISNAGUITO 300G PUL</t>
  </si>
  <si>
    <t>PAO BISNAGUINHA</t>
  </si>
  <si>
    <t>PULLMAN</t>
  </si>
  <si>
    <t>BISNAGUITO PULLMAN 3</t>
  </si>
  <si>
    <t>B MAIZ MARIL 170G</t>
  </si>
  <si>
    <t>BOLACHA MAISENA</t>
  </si>
  <si>
    <t>BOMBOM FERRERO T12</t>
  </si>
  <si>
    <t>BOMBOM</t>
  </si>
  <si>
    <t>FERRERO</t>
  </si>
  <si>
    <t>BOTELHO PASTEL</t>
  </si>
  <si>
    <t>MASSA DE PASTEL</t>
  </si>
  <si>
    <t>BROCOLIS FLORETE CONGELADO SAD</t>
  </si>
  <si>
    <t>BROCOLIS</t>
  </si>
  <si>
    <t>CABOTIA DESCASCADA E PICADA</t>
  </si>
  <si>
    <t>CABOTIA INTEIRA</t>
  </si>
  <si>
    <t>CAFE 3C 250G S MINAS</t>
  </si>
  <si>
    <t>CAFE GOURMET</t>
  </si>
  <si>
    <t>3 CORACOES</t>
  </si>
  <si>
    <t>CAFE 3 CORACOES 250G</t>
  </si>
  <si>
    <t>CAFE 3CORACOES 250G</t>
  </si>
  <si>
    <t>CAFE 3 CORACOES 250GR GOURMET SUL DE MINAS</t>
  </si>
  <si>
    <t>CAFE 3 CORACOES GOU</t>
  </si>
  <si>
    <t>CAFE 3 CORACOES RITU</t>
  </si>
  <si>
    <t>CAFE 3 COR GOURM 250</t>
  </si>
  <si>
    <t>CAFE COF++ ARARA 250</t>
  </si>
  <si>
    <t>COF++</t>
  </si>
  <si>
    <t>CAFE COF++ CHAP 250G</t>
  </si>
  <si>
    <t>CAFE EM PO 3 CO</t>
  </si>
  <si>
    <t>CAFE EM PO</t>
  </si>
  <si>
    <t>CAFE TOR MOI 3CORACO</t>
  </si>
  <si>
    <t>CAFE TORRADO E MOIDO 3 CORACOES GOURMET DARK 4 SOLDAS 250 GR</t>
  </si>
  <si>
    <t>CALDO EM PO 35G MAGG</t>
  </si>
  <si>
    <t>CALDO EM PO</t>
  </si>
  <si>
    <t>MAGGI</t>
  </si>
  <si>
    <t>CALDO KNORR 114</t>
  </si>
  <si>
    <t>CALDO</t>
  </si>
  <si>
    <t>CALDO KNORR 114GR CARNE 6LI</t>
  </si>
  <si>
    <t>CALDO CARNE</t>
  </si>
  <si>
    <t>KNORR</t>
  </si>
  <si>
    <t>CALDO KNORR 114GR GAL 6LI</t>
  </si>
  <si>
    <t>CALDO GALINHA</t>
  </si>
  <si>
    <t>CALDO KNORR 57G</t>
  </si>
  <si>
    <t>CALDO KNORR 57G C/6</t>
  </si>
  <si>
    <t>CALDO MAGGI 35G</t>
  </si>
  <si>
    <t>CALDO MAGGI 57GR LEGUMES</t>
  </si>
  <si>
    <t>CALDO LEGUMES</t>
  </si>
  <si>
    <t>CAMOM KITANO 10G</t>
  </si>
  <si>
    <t>CAMOMILA</t>
  </si>
  <si>
    <t>KITANO</t>
  </si>
  <si>
    <t>CASTANHA DE CAJU ESP</t>
  </si>
  <si>
    <t>CASTANHA DE CAJU</t>
  </si>
  <si>
    <t>CAST. CAJU CARAM. USIBRAS KG</t>
  </si>
  <si>
    <t>CEBOLA ARGENTINA</t>
  </si>
  <si>
    <t>CEBOLA KG</t>
  </si>
  <si>
    <t>CEBOLA</t>
  </si>
  <si>
    <t>CEBOLA NACIONAL KG</t>
  </si>
  <si>
    <t>CEBOLA NACIONAL TIPO A CAT 3</t>
  </si>
  <si>
    <t>CEBOLINHA ESPECIAL</t>
  </si>
  <si>
    <t>CEBOLINHA</t>
  </si>
  <si>
    <t>CENOURA KG</t>
  </si>
  <si>
    <t>CENOURA</t>
  </si>
  <si>
    <t>CENOURA VERMELHA</t>
  </si>
  <si>
    <t>CEREAL NESCAU CE 210</t>
  </si>
  <si>
    <t>SUCRILHOS</t>
  </si>
  <si>
    <t>NESCAU</t>
  </si>
  <si>
    <t>CEREJA IMPORTA KG</t>
  </si>
  <si>
    <t>CEREJA</t>
  </si>
  <si>
    <t>CER MAT NESCAU</t>
  </si>
  <si>
    <t>CHA DEN BOV PCA/PED</t>
  </si>
  <si>
    <t>CHA</t>
  </si>
  <si>
    <t>CHA FORA BOV PC/PD</t>
  </si>
  <si>
    <t>CHANTI SPR POLE 250G</t>
  </si>
  <si>
    <t>CHANTILLI</t>
  </si>
  <si>
    <t>CH HERS AMG CRST 77G</t>
  </si>
  <si>
    <t>CHOCOLATE</t>
  </si>
  <si>
    <t>CH HERSH 85G EXPRESS</t>
  </si>
  <si>
    <t>CHIMICHURRI KITA 12G</t>
  </si>
  <si>
    <t>CHIMICHURRI</t>
  </si>
  <si>
    <t>CHOC LACTA INTENSE 85G 70 CACAU</t>
  </si>
  <si>
    <t>LACTA</t>
  </si>
  <si>
    <t>CHOCOLATE LACTA INTENSE 60 CACAU MIX NUTS</t>
  </si>
  <si>
    <t>C/LEIT NESTLE ZE 200</t>
  </si>
  <si>
    <t>CREME DE LEITE ZERO LACTOSE</t>
  </si>
  <si>
    <t>NESTLE</t>
  </si>
  <si>
    <t>COBERT CHOC SICAO 1.01KG MAIS CHIPS AO LEITE</t>
  </si>
  <si>
    <t>COBERTURA</t>
  </si>
  <si>
    <t>SICAO</t>
  </si>
  <si>
    <t>COEN PIRATA 10G</t>
  </si>
  <si>
    <t>COENTRO</t>
  </si>
  <si>
    <t>COENTRO SALDOM 10G</t>
  </si>
  <si>
    <t>COGUMELO ERYNGU</t>
  </si>
  <si>
    <t>COGUMELO ERYNGUI</t>
  </si>
  <si>
    <t>COGUMELO IR SHIM 200</t>
  </si>
  <si>
    <t>COGUMELO SHIMEJI</t>
  </si>
  <si>
    <t>COGUMELO SHIMEJ</t>
  </si>
  <si>
    <t>COGUM SHIT MASTR 20G</t>
  </si>
  <si>
    <t>COGUMELO SHITAKI</t>
  </si>
  <si>
    <t>CONDIM KISABOR 8GR NOZ MOSC PO</t>
  </si>
  <si>
    <t>NOS MOSCADA</t>
  </si>
  <si>
    <t>CONDIM PIRATA 10GR COENTRO PO</t>
  </si>
  <si>
    <t>PIRATA</t>
  </si>
  <si>
    <t>CONDIM PIRATA 20GR ACAFRAO</t>
  </si>
  <si>
    <t>ACAFRAO</t>
  </si>
  <si>
    <t>CONDIM TEMPERATTA 40GR LEMON PEPPER</t>
  </si>
  <si>
    <t>LEMON PEPPER</t>
  </si>
  <si>
    <t>CONDIM TEMPERATTA 40GR PIM CALAB</t>
  </si>
  <si>
    <t>PIMENTA CALABRESA</t>
  </si>
  <si>
    <t>TEMPERATTA</t>
  </si>
  <si>
    <t>CONTRA PEDACO PROMOC</t>
  </si>
  <si>
    <t>CONTRA FILE</t>
  </si>
  <si>
    <t>CORACAO FGO MOLHO SHOYU NABRAS</t>
  </si>
  <si>
    <t>CORACAO DE FRANGO</t>
  </si>
  <si>
    <t>CORACAO FGO SADIA 1K</t>
  </si>
  <si>
    <t>CORACAO PERDIGAO 1KG</t>
  </si>
  <si>
    <t>CORACAO SADIA B</t>
  </si>
  <si>
    <t>COSTELA SUINA TEMPKG</t>
  </si>
  <si>
    <t>COSTELA SUINA</t>
  </si>
  <si>
    <t>COXA C/OP FGO CONG BDJ 1KG SAD</t>
  </si>
  <si>
    <t>COXA DE FRANGO</t>
  </si>
  <si>
    <t>COXA FGO SEARA 1KG IQF CONG</t>
  </si>
  <si>
    <t>SEARA</t>
  </si>
  <si>
    <t>CR CAST CAJU 180G</t>
  </si>
  <si>
    <t>CREME DE CASTANHA</t>
  </si>
  <si>
    <t>CR.CAST CAJU VI</t>
  </si>
  <si>
    <t>CR CHEESE C MIN 1 2</t>
  </si>
  <si>
    <t>CREAM CHEESE</t>
  </si>
  <si>
    <t>CR.CHEESE SCALA</t>
  </si>
  <si>
    <t>CR DENT COLGATE</t>
  </si>
  <si>
    <t>CREME DENTAL</t>
  </si>
  <si>
    <t>CR DENT COLGATE 180G</t>
  </si>
  <si>
    <t>COLGATE</t>
  </si>
  <si>
    <t>CR DENT COLGATE 90GR TOTAL 12H C MINT</t>
  </si>
  <si>
    <t>CR DENT COLGATE NAT</t>
  </si>
  <si>
    <t>CREME DE CSTNH DE CA</t>
  </si>
  <si>
    <t>CREME LEITE S LAC NO</t>
  </si>
  <si>
    <t>CREME DE LEITE</t>
  </si>
  <si>
    <t>CREME LEITE ZERO LAC</t>
  </si>
  <si>
    <t>CREME RICOTA ZERO LA</t>
  </si>
  <si>
    <t>CREME RICOTA</t>
  </si>
  <si>
    <t>CR.LEITE ITALAC</t>
  </si>
  <si>
    <t>CR LEITE ITAMBE 200GR NOLAC TP</t>
  </si>
  <si>
    <t>ITAMBE</t>
  </si>
  <si>
    <t>CR LEITE NESTLE ZLAC</t>
  </si>
  <si>
    <t>CR.LEITE PIRACA</t>
  </si>
  <si>
    <t>CR LTE ITAM NOL 200G</t>
  </si>
  <si>
    <t>CR LTE PIRAC Z L 200</t>
  </si>
  <si>
    <t>CR.RICOTA TIROL</t>
  </si>
  <si>
    <t>DC LEITE VICOSA</t>
  </si>
  <si>
    <t>DOCE DE LEITE</t>
  </si>
  <si>
    <t>DESINF BAK YPE 2L P1 8L LAVANDA</t>
  </si>
  <si>
    <t>ERVILHA PREDILE</t>
  </si>
  <si>
    <t>ERVILHA</t>
  </si>
  <si>
    <t>ESC DENT ORAL B INDICATOR CARVAO C/2</t>
  </si>
  <si>
    <t>ESCOVA DENTAL</t>
  </si>
  <si>
    <t>ORAL B</t>
  </si>
  <si>
    <t>ESMALTE RISQUE 8ML L</t>
  </si>
  <si>
    <t>ESMALTE</t>
  </si>
  <si>
    <t>RISQUE</t>
  </si>
  <si>
    <t>ESPINAFRE JAPONES</t>
  </si>
  <si>
    <t>ESP M-USP LIMP EC C4</t>
  </si>
  <si>
    <t>ESPONJA DE LOUCA</t>
  </si>
  <si>
    <t>ESPONJA SCOTCH</t>
  </si>
  <si>
    <t>ESPONJA SCOTH B</t>
  </si>
  <si>
    <t>ESP SCOTCH LAR C/3</t>
  </si>
  <si>
    <t>SCOTCH</t>
  </si>
  <si>
    <t>EXT ELEFANTE SC</t>
  </si>
  <si>
    <t>EXTRATO DE TOMATE</t>
  </si>
  <si>
    <t>ELEFANTE</t>
  </si>
  <si>
    <t>EXTRATO DE TOMATE EL</t>
  </si>
  <si>
    <t>EXTRATO TOMATE ELEFA</t>
  </si>
  <si>
    <t>EXT TOM COLONIAL 190</t>
  </si>
  <si>
    <t>COLONIAL</t>
  </si>
  <si>
    <t>EXT TOM ELEFAN 300G</t>
  </si>
  <si>
    <t>EXT TOM ELEFANT</t>
  </si>
  <si>
    <t>FARINHA MAND PACHA 5</t>
  </si>
  <si>
    <t>FARINHA DE MANDIOCA</t>
  </si>
  <si>
    <t>FARINHA TRIGO SOL 1K</t>
  </si>
  <si>
    <t>FARINHA DE TRIGO</t>
  </si>
  <si>
    <t>SOL</t>
  </si>
  <si>
    <t>FAR TRIGO LUNAR 1 KG</t>
  </si>
  <si>
    <t>FEIJAO CARIOCA VASCONCELOS 1KG NOBR T1</t>
  </si>
  <si>
    <t>FEIJAO CARIOCA</t>
  </si>
  <si>
    <t>FEIJ PRETO VASC</t>
  </si>
  <si>
    <t>FEIJAO PRETO</t>
  </si>
  <si>
    <t>FERMENTO QUIMICO PO ROYAL 100 GR</t>
  </si>
  <si>
    <t>FERMENTO EM PO</t>
  </si>
  <si>
    <t>FILE DE PEITO FGO CONG S/OPC S</t>
  </si>
  <si>
    <t>PEITO DE FRANGO</t>
  </si>
  <si>
    <t>FILE PEITO FGO</t>
  </si>
  <si>
    <t>FILE PEITO FGO SADIA 1KG IQF PCT CONG</t>
  </si>
  <si>
    <t>FILE P FGO SAD 1KG</t>
  </si>
  <si>
    <t>FLOR LISIANTHUS</t>
  </si>
  <si>
    <t>FLOR</t>
  </si>
  <si>
    <t>FLV BANANA CATURRA KG (NANICA)</t>
  </si>
  <si>
    <t>FLV CEBOLA AMARELA KG</t>
  </si>
  <si>
    <t>FLV TOMATE TOMATINHO 300GR UNID</t>
  </si>
  <si>
    <t>TOMATE TOMATINHO</t>
  </si>
  <si>
    <t>FOSFORO PINHEIRO</t>
  </si>
  <si>
    <t>FOSFORO</t>
  </si>
  <si>
    <t>PINHEIRO</t>
  </si>
  <si>
    <t>FRAMBOESA I80G</t>
  </si>
  <si>
    <t>FRAMBOESA</t>
  </si>
  <si>
    <t>GATORADE 500ML LIMAO</t>
  </si>
  <si>
    <t>GATORADE</t>
  </si>
  <si>
    <t>GELATINA APTI 20GR MORANGO</t>
  </si>
  <si>
    <t>GELATINA</t>
  </si>
  <si>
    <t>GENGIBRE</t>
  </si>
  <si>
    <t>GENGIBRE KG</t>
  </si>
  <si>
    <t>GORGONZ FORMA POLENG</t>
  </si>
  <si>
    <t>QUEIJO GORGONZOLA</t>
  </si>
  <si>
    <t>GRAN N.LIFE 300</t>
  </si>
  <si>
    <t>GRANOLA</t>
  </si>
  <si>
    <t>NUTRI LIFE</t>
  </si>
  <si>
    <t>GRANOLA TIA SONIA 40</t>
  </si>
  <si>
    <t>TIA SONIA</t>
  </si>
  <si>
    <t>GRANOLA TRADICIONAL</t>
  </si>
  <si>
    <t>GRANOLA T TSONIA 200</t>
  </si>
  <si>
    <t>GRANOLA VITAO 800GR TRAD ZERO</t>
  </si>
  <si>
    <t>GRANOLA ZERO</t>
  </si>
  <si>
    <t>VITAO</t>
  </si>
  <si>
    <t>GREGO BATAV 450G TRA</t>
  </si>
  <si>
    <t>IORGUTE GREGO</t>
  </si>
  <si>
    <t>BATAVO</t>
  </si>
  <si>
    <t>GUARDANAPO MILI FS 2</t>
  </si>
  <si>
    <t>GUARDANAPO</t>
  </si>
  <si>
    <t>MILI</t>
  </si>
  <si>
    <t>GUARD PAP MILI 30X29 5 C/50</t>
  </si>
  <si>
    <t>GUARD SCOTT 24X22 50</t>
  </si>
  <si>
    <t>SCOTT</t>
  </si>
  <si>
    <t>GUARD SCOTT FD</t>
  </si>
  <si>
    <t>IOG C.MINAS 400</t>
  </si>
  <si>
    <t>IORGUTE</t>
  </si>
  <si>
    <t>IOG DELICARI Z.</t>
  </si>
  <si>
    <t>IOG ICE MIX MORANGO</t>
  </si>
  <si>
    <t>IOG ITAM NAT MIL 450</t>
  </si>
  <si>
    <t>IOG LACFRE 500G TRAD</t>
  </si>
  <si>
    <t>IORGUTE LACFREE</t>
  </si>
  <si>
    <t>IOG LEITISSIMO</t>
  </si>
  <si>
    <t>IOG LIQ ITAMBE MORANGO 170G</t>
  </si>
  <si>
    <t>IORGUTE MORANGO</t>
  </si>
  <si>
    <t>IOG LIQ VERDE CAMPO 250G GF COCO</t>
  </si>
  <si>
    <t>IORGUTE COCO</t>
  </si>
  <si>
    <t>VERDE CAMPO</t>
  </si>
  <si>
    <t>IOG LIQ VERDE CAMPO 500G GF MORAN</t>
  </si>
  <si>
    <t>IOG NAT LACRFEE VERD</t>
  </si>
  <si>
    <t>IOGURTE GF C  MINAS</t>
  </si>
  <si>
    <t>IOGURTE LACFREE VERD</t>
  </si>
  <si>
    <t>IOGURTE VEGPROTEIN V</t>
  </si>
  <si>
    <t>IOG V.CAMPO LAC</t>
  </si>
  <si>
    <t>IOG VDE CAM LACF 480</t>
  </si>
  <si>
    <t>IOG VIDA VEG PR</t>
  </si>
  <si>
    <t>KIT HEINZ 867G</t>
  </si>
  <si>
    <t>KIT MAIONESE E KETCHUP</t>
  </si>
  <si>
    <t>KIWI IMPORTADO</t>
  </si>
  <si>
    <t>KIWI</t>
  </si>
  <si>
    <t>KIWI IMPORTADO KG</t>
  </si>
  <si>
    <t>LARANJA PERA CRFO KG</t>
  </si>
  <si>
    <t>LARANJA PERA</t>
  </si>
  <si>
    <t>LARANJA QUALITY PTE. 4 KG</t>
  </si>
  <si>
    <t>LARANJA</t>
  </si>
  <si>
    <t>LASANHA BOTELHO CAN</t>
  </si>
  <si>
    <t>LASANHA</t>
  </si>
  <si>
    <t>BOTELHO</t>
  </si>
  <si>
    <t>LAVA LOUCA LIQ YPE 500ML CLEAR</t>
  </si>
  <si>
    <t>DETERGENTE</t>
  </si>
  <si>
    <t>YPE</t>
  </si>
  <si>
    <t>LAVA ROUPA LIQ CONC ARIEL 2L. SENSITIVE</t>
  </si>
  <si>
    <t>ARIEL</t>
  </si>
  <si>
    <t>LAVA ROUPAS ARIEL 2L</t>
  </si>
  <si>
    <t>SABAO DE ROUPA</t>
  </si>
  <si>
    <t>LAV LOUC LIMPOL 500</t>
  </si>
  <si>
    <t>L/COND ITALAC Z/L395</t>
  </si>
  <si>
    <t>LEITE CONDENSADO</t>
  </si>
  <si>
    <t>LEITE COND ITALAC 39</t>
  </si>
  <si>
    <t>LEITE COND ITAMBE 395GR NOLAC TP</t>
  </si>
  <si>
    <t>LEITE LV ITAMBE 1L NOLAC INTEG</t>
  </si>
  <si>
    <t>LEITE INTEGRAL ZERO LACTOSE</t>
  </si>
  <si>
    <t>LEITE UHT ITAMB</t>
  </si>
  <si>
    <t>LEITE INTEGRAL</t>
  </si>
  <si>
    <t>LEITE UHT ITAMBE SEM</t>
  </si>
  <si>
    <t>LEITE UHT PIRAC</t>
  </si>
  <si>
    <t>PIRACANJUBA</t>
  </si>
  <si>
    <t>LEMOM PEP EL RAN 15G</t>
  </si>
  <si>
    <t>LEMON PEPP TEMPER 40</t>
  </si>
  <si>
    <t>LEMON PEP SALDOM 20G</t>
  </si>
  <si>
    <t>LENTILHA KG</t>
  </si>
  <si>
    <t>LENTILHA</t>
  </si>
  <si>
    <t>LIMAO</t>
  </si>
  <si>
    <t>LIMAO THAITI KG</t>
  </si>
  <si>
    <t>LIMPA PISO UAU 750ML MADEIRA</t>
  </si>
  <si>
    <t>CERA DE PISO</t>
  </si>
  <si>
    <t>UAU</t>
  </si>
  <si>
    <t>LING CALAB SEAR</t>
  </si>
  <si>
    <t>LINGUICA CALABRESA</t>
  </si>
  <si>
    <t>LING CALAB SEARA 400G CURVA</t>
  </si>
  <si>
    <t>LING FGO GRANDI</t>
  </si>
  <si>
    <t>LINGUICA DE FRANGO</t>
  </si>
  <si>
    <t>LING PERDIGAO 400G</t>
  </si>
  <si>
    <t>LING TROPEI FGO 350G</t>
  </si>
  <si>
    <t>LINGUICA FRANGO CHUR</t>
  </si>
  <si>
    <t>LINGUICA FRANGO CONG PT 1KG NA</t>
  </si>
  <si>
    <t>LINGUICA TIPO CALAB PERD PCT 4</t>
  </si>
  <si>
    <t>PERDIGAO</t>
  </si>
  <si>
    <t>LINGUIC FGO FIN</t>
  </si>
  <si>
    <t>LOCAO HID NIVEA 400ML. BELEZA RADIANTE</t>
  </si>
  <si>
    <t>HIDRATANTE</t>
  </si>
  <si>
    <t>NIVEA</t>
  </si>
  <si>
    <t>L PISOS UAU 750 MADE</t>
  </si>
  <si>
    <t>LT DESN 1LT NOLAC</t>
  </si>
  <si>
    <t>LEITE DESTANADO ZERO LACTOSE</t>
  </si>
  <si>
    <t>LTE COCO DUCOCO 200</t>
  </si>
  <si>
    <t>LEITE DE COCO</t>
  </si>
  <si>
    <t>LTE COND ITALAC</t>
  </si>
  <si>
    <t>L V ITAMBE ZE/LAC 1L</t>
  </si>
  <si>
    <t>MACA GALA BENASS 600</t>
  </si>
  <si>
    <t>MACARRAO</t>
  </si>
  <si>
    <t>MAC CORT STA AMALIA 500GR OVOS CARACOL</t>
  </si>
  <si>
    <t>MACARRAO CARACOL</t>
  </si>
  <si>
    <t>SANTA AMALIA</t>
  </si>
  <si>
    <t>MAC CORT STA AMALIA 500GR SEMOLA PENA</t>
  </si>
  <si>
    <t>MACARRAO PENNE</t>
  </si>
  <si>
    <t>MAC DIVELLA RIG</t>
  </si>
  <si>
    <t>MAC ESPAGUETE 8 S GL</t>
  </si>
  <si>
    <t>MACARRAO ESPAGUETE</t>
  </si>
  <si>
    <t>MAC PARAFUSO S GLUTE</t>
  </si>
  <si>
    <t>MACARRAO PARAFUSO</t>
  </si>
  <si>
    <t>MAC SANTA AMALI</t>
  </si>
  <si>
    <t>MAC ZERO GLU SA</t>
  </si>
  <si>
    <t>MACARRAO INTEGRAL</t>
  </si>
  <si>
    <t>MAIONESE HELLMA</t>
  </si>
  <si>
    <t>MAIONESE</t>
  </si>
  <si>
    <t>HELLMANNS</t>
  </si>
  <si>
    <t>MAIONESE HELLMAN 500</t>
  </si>
  <si>
    <t>MAIONESE HELLMANNS 500 G</t>
  </si>
  <si>
    <t>MAIONESE HEMMER 290G</t>
  </si>
  <si>
    <t>HEMMER</t>
  </si>
  <si>
    <t>MAION HEL LIG 335G</t>
  </si>
  <si>
    <t>MAMAO HAVAI / PAPAIA EXPORTACAO</t>
  </si>
  <si>
    <t>MAMAO</t>
  </si>
  <si>
    <t>MAMAO HAWAI KG</t>
  </si>
  <si>
    <t>MANDIOCA GARCIA</t>
  </si>
  <si>
    <t>MANDIOCA</t>
  </si>
  <si>
    <t>GARCIA</t>
  </si>
  <si>
    <t>MANDIOCA GARCIA EMBA</t>
  </si>
  <si>
    <t>MANT C.MINAS 20</t>
  </si>
  <si>
    <t>MANTEIGA</t>
  </si>
  <si>
    <t>MANT C MINAS ZL 200G</t>
  </si>
  <si>
    <t>MANTEIGA ZERO LACTOSE</t>
  </si>
  <si>
    <t>CANTO DE MINAS</t>
  </si>
  <si>
    <t>MANTEIGA CANTO MINAS</t>
  </si>
  <si>
    <t>MANTEIGA VD VEG 170G</t>
  </si>
  <si>
    <t>MANT GHEE TRAD RAFIT</t>
  </si>
  <si>
    <t>MANT GRAN MESTR</t>
  </si>
  <si>
    <t>MANT RADIO 500G</t>
  </si>
  <si>
    <t>MASSA LASANHA  OVOS</t>
  </si>
  <si>
    <t>MASSA DE LASANHA</t>
  </si>
  <si>
    <t>MC OVOS S AMALIA 500</t>
  </si>
  <si>
    <t>AMALIA</t>
  </si>
  <si>
    <t>MELANCIA</t>
  </si>
  <si>
    <t>MELANCIA COMUM /CORTADA</t>
  </si>
  <si>
    <t>MELANCIA PANDA KG</t>
  </si>
  <si>
    <t>MELANCIA PICADO</t>
  </si>
  <si>
    <t>MELAO AMARELO K</t>
  </si>
  <si>
    <t>MELAO AMARELO</t>
  </si>
  <si>
    <t>MELAO AMARELO KG</t>
  </si>
  <si>
    <t>MELAO AMARELO P</t>
  </si>
  <si>
    <t>MELAO DINO CEPI KG</t>
  </si>
  <si>
    <t>MELAO DINO</t>
  </si>
  <si>
    <t>MELAO ESPANHOL</t>
  </si>
  <si>
    <t>MELAO ORANGE PI</t>
  </si>
  <si>
    <t>MELAO ORANGE</t>
  </si>
  <si>
    <t>MEL MELO 500G L</t>
  </si>
  <si>
    <t>MEXERICA DESCAS</t>
  </si>
  <si>
    <t>MEXERICA DESCASCADA</t>
  </si>
  <si>
    <t>MILHO</t>
  </si>
  <si>
    <t>MILHO SWEET TRE</t>
  </si>
  <si>
    <t>MILHO VDE PREDILECTA 170G SACHE</t>
  </si>
  <si>
    <t>PREDILECTA</t>
  </si>
  <si>
    <t>MILHO VERDE PRE</t>
  </si>
  <si>
    <t>MILHO VER FUGINI 170</t>
  </si>
  <si>
    <t>MILHO VER PREDILECT</t>
  </si>
  <si>
    <t>MINI RUCULA</t>
  </si>
  <si>
    <t>RUCULA</t>
  </si>
  <si>
    <t>MINI TOMATE ESPECIAL</t>
  </si>
  <si>
    <t>MIRTILLO 125GR</t>
  </si>
  <si>
    <t>MIRTILLO</t>
  </si>
  <si>
    <t>MIRTILO - BLUEBERRIES PERUANO</t>
  </si>
  <si>
    <t>MIX VEGETAIS CONGELADOS PT 1 0</t>
  </si>
  <si>
    <t>MIX VEGETAIS</t>
  </si>
  <si>
    <t>MOLHO BARBECUE HEMME</t>
  </si>
  <si>
    <t>MOLHO BARBECUE</t>
  </si>
  <si>
    <t>MOLHO PASSATA PREDILECTA 300GR RUSTICA SACHE</t>
  </si>
  <si>
    <t>MOLHO SHOYU IPP</t>
  </si>
  <si>
    <t>MOLHO SHOYU</t>
  </si>
  <si>
    <t>MOLICO IOGURTE LIQ BAUNILHA 170G</t>
  </si>
  <si>
    <t>BAUNILHA</t>
  </si>
  <si>
    <t>MORANGO 250G</t>
  </si>
  <si>
    <t>MORANGO</t>
  </si>
  <si>
    <t>MORANGO MEDIO</t>
  </si>
  <si>
    <t>MOSTARDA HELLMAN 170</t>
  </si>
  <si>
    <t>MOSTARDA</t>
  </si>
  <si>
    <t>MOUSS VIDA VEG 200</t>
  </si>
  <si>
    <t>MOUSSE</t>
  </si>
  <si>
    <t>MUSSARELA ESPECIAL PECA SCALA</t>
  </si>
  <si>
    <t>MUSSARELA</t>
  </si>
  <si>
    <t>SCALA</t>
  </si>
  <si>
    <t>NESTLE GREGO SABOR TRADICIONAL 90G</t>
  </si>
  <si>
    <t>NOZES SEM CASCA BENA</t>
  </si>
  <si>
    <t>NOZES</t>
  </si>
  <si>
    <t>OLEO GIRASSOL SINHA</t>
  </si>
  <si>
    <t>OLEO DE GIRASSOL</t>
  </si>
  <si>
    <t>SINHA</t>
  </si>
  <si>
    <t>OLEO SOJA ABC 900ML</t>
  </si>
  <si>
    <t>OLEO DE SOJA</t>
  </si>
  <si>
    <t>ABC</t>
  </si>
  <si>
    <t>OLEO SOJA LIZA</t>
  </si>
  <si>
    <t>OVO G V PL CA O C/20</t>
  </si>
  <si>
    <t>OVOS DE GALINHA</t>
  </si>
  <si>
    <t>OVO OMEGA3 LAB 10UN</t>
  </si>
  <si>
    <t>OVOS BC C/12 IANA</t>
  </si>
  <si>
    <t>OVOS BRANCOS M.</t>
  </si>
  <si>
    <t>OVOS CODORNA JO</t>
  </si>
  <si>
    <t>OVOS DE CODORNA</t>
  </si>
  <si>
    <t>OVOS VERMELHO GRANDES (20)</t>
  </si>
  <si>
    <t>OVOS VERMELHOS</t>
  </si>
  <si>
    <t>PACOCA S.ENERGI</t>
  </si>
  <si>
    <t>PACOQUITA</t>
  </si>
  <si>
    <t>PACOQUITA QUAD 18 GR</t>
  </si>
  <si>
    <t>PANETTONE BAUDU</t>
  </si>
  <si>
    <t>PANETTONE</t>
  </si>
  <si>
    <t>BAUDUCCO</t>
  </si>
  <si>
    <t>PANETTONE FRUTAS BAUDUCCO MERC</t>
  </si>
  <si>
    <t>PANETTONE TOMMY C/FRUTAS</t>
  </si>
  <si>
    <t>PAO AUSTRALIANO</t>
  </si>
  <si>
    <t>PAO DE ALHO SÓ MINAS PICANTE</t>
  </si>
  <si>
    <t>PAO DE ALHO</t>
  </si>
  <si>
    <t>SO MINAS</t>
  </si>
  <si>
    <t>PAO DE ALHO TOQUE DE</t>
  </si>
  <si>
    <t>PAO DE BATATA</t>
  </si>
  <si>
    <t>PAO DE FORMA WI</t>
  </si>
  <si>
    <t>PAO DE FORMA INTEGRAL</t>
  </si>
  <si>
    <t>PAO DE GRAO WICKBOLD</t>
  </si>
  <si>
    <t>WICKBOLD</t>
  </si>
  <si>
    <t>PAO DE QUEIJO</t>
  </si>
  <si>
    <t>PAO DE QUEIJO QUALY AMANT LANC</t>
  </si>
  <si>
    <t>QUALY</t>
  </si>
  <si>
    <t>PAO FORMA WICKBOLD 500G 100 INTEG</t>
  </si>
  <si>
    <t>PAO FORMA WICKBOLD FORNO 100%</t>
  </si>
  <si>
    <t>PAO FRANCES</t>
  </si>
  <si>
    <t>PAO INTEGRAL M.</t>
  </si>
  <si>
    <t>PAO WICKBOLD 400G GI</t>
  </si>
  <si>
    <t>PAO WICKBOLD FOR 500</t>
  </si>
  <si>
    <t>PAPEL HIG FD NEVE 40</t>
  </si>
  <si>
    <t>PAPEL HIGIENICO</t>
  </si>
  <si>
    <t>NEVE</t>
  </si>
  <si>
    <t>PAPEL HIG FD NEVE TO</t>
  </si>
  <si>
    <t>PAPEL HIGIENICO MILI</t>
  </si>
  <si>
    <t>PAPEL HIG PERSONAL VIP 20M C/12 FD NEUTRO</t>
  </si>
  <si>
    <t>PERSONAL</t>
  </si>
  <si>
    <t>PAPEL TOALHA MILI BIANCO C/2 ROLO</t>
  </si>
  <si>
    <t>PAPEL TOALHA</t>
  </si>
  <si>
    <t>PAPEL TOALHA SNOB CL</t>
  </si>
  <si>
    <t>SNOB</t>
  </si>
  <si>
    <t>PAP HIG DUETTO</t>
  </si>
  <si>
    <t>PAP HIG MILI 60M</t>
  </si>
  <si>
    <t>PAPR DOC EL RANC 15G</t>
  </si>
  <si>
    <t>PAPRICA DOCE</t>
  </si>
  <si>
    <t>PAPRICA DEFUMADA TER</t>
  </si>
  <si>
    <t>PAPRICA DEFUMADA</t>
  </si>
  <si>
    <t>PAPRICA KININO 20G</t>
  </si>
  <si>
    <t>KININO</t>
  </si>
  <si>
    <t>PAPRICA KITANO 12G</t>
  </si>
  <si>
    <t>PARM 6 MESES SCALA R</t>
  </si>
  <si>
    <t>QUEIJO PARMESAO</t>
  </si>
  <si>
    <t>P.ARTESANO PULL</t>
  </si>
  <si>
    <t>PATE DE PRESUNTO RESFRIADO SAD</t>
  </si>
  <si>
    <t>PATE DE PRESUNTO</t>
  </si>
  <si>
    <t>PATE M.G KG FRA</t>
  </si>
  <si>
    <t>PATE DE FRANGO</t>
  </si>
  <si>
    <t>PATINHO KG</t>
  </si>
  <si>
    <t>PATINHO</t>
  </si>
  <si>
    <t>PATINHO M.G KG</t>
  </si>
  <si>
    <t>P.BISN PULLMAN</t>
  </si>
  <si>
    <t>PEITO DE PERU DEFUMADO RESF</t>
  </si>
  <si>
    <t>PEITO DE PERU</t>
  </si>
  <si>
    <t>PEPINO CAIPIRA</t>
  </si>
  <si>
    <t>PEPINO</t>
  </si>
  <si>
    <t>PEPINO JAPONES</t>
  </si>
  <si>
    <t>PEPITA DE GIRASSOL S/CASCA S/SAL KG</t>
  </si>
  <si>
    <t>SEMENTE DE GIRASSOL</t>
  </si>
  <si>
    <t>PERA</t>
  </si>
  <si>
    <t>PERA PORTUGUESA</t>
  </si>
  <si>
    <t>PESSEGO NAC KG</t>
  </si>
  <si>
    <t>PESSEGO NACIONAL</t>
  </si>
  <si>
    <t>PETIT SUISSE DANONIN</t>
  </si>
  <si>
    <t>DANONINHO</t>
  </si>
  <si>
    <t>P HIG NEVE 30 L12P11</t>
  </si>
  <si>
    <t>PILHA PANAS ALC C/4</t>
  </si>
  <si>
    <t>PILHA</t>
  </si>
  <si>
    <t>PIM BCA KITANO 15G</t>
  </si>
  <si>
    <t>PIMENTA</t>
  </si>
  <si>
    <t>PIMENTA KITANO 13G</t>
  </si>
  <si>
    <t>PIMENTA REINO KININO</t>
  </si>
  <si>
    <t>PIMENTA DO REINO</t>
  </si>
  <si>
    <t>PISTACHE BENASS 100G</t>
  </si>
  <si>
    <t>PISTACHE</t>
  </si>
  <si>
    <t>PITAIA</t>
  </si>
  <si>
    <t>PRESUNTO COZIDO SEM CAPA GORD SADIA</t>
  </si>
  <si>
    <t>PRESUNTO</t>
  </si>
  <si>
    <t>P.TORTILHA PULL</t>
  </si>
  <si>
    <t>RAP10</t>
  </si>
  <si>
    <t>QJ CH POLENGHI 1 5KG</t>
  </si>
  <si>
    <t>QUEIJO POLENGUINHO</t>
  </si>
  <si>
    <t>QJO BLU T VIGOR 100G</t>
  </si>
  <si>
    <t>QUEIJO BLUE</t>
  </si>
  <si>
    <t>QJO BRIE YEMA 1</t>
  </si>
  <si>
    <t>QUEIJO BRIE</t>
  </si>
  <si>
    <t>YEMA</t>
  </si>
  <si>
    <t>QJO GORGONZOLA</t>
  </si>
  <si>
    <t>QJO MINAS PADRAO Z L</t>
  </si>
  <si>
    <t>QUEIJO MINAS</t>
  </si>
  <si>
    <t>QJO MIN M CURA BONQ</t>
  </si>
  <si>
    <t>QJO MIN P SER Z L KG</t>
  </si>
  <si>
    <t>QJO MORRO AZUL</t>
  </si>
  <si>
    <t>QUEIJO MORRO AZUL</t>
  </si>
  <si>
    <t>MORRO AZUL</t>
  </si>
  <si>
    <t>QJO MUSS BUF B.</t>
  </si>
  <si>
    <t>QUEIJO MUSSARELA</t>
  </si>
  <si>
    <t>QJO MUSS TIROLE</t>
  </si>
  <si>
    <t>QJO PARM VIGOR 200G</t>
  </si>
  <si>
    <t>QJO PROC SANDW 144G</t>
  </si>
  <si>
    <t>QUEIJO PRATO</t>
  </si>
  <si>
    <t>QJ PARM TIROLEZ 245G</t>
  </si>
  <si>
    <t>QJ PHILAD 300G ORIG</t>
  </si>
  <si>
    <t>QUEIJO COALHO SCALA 285G ESPETO</t>
  </si>
  <si>
    <t>QUEIJO COALHO</t>
  </si>
  <si>
    <t>QUEIJO MUSSARE 150G</t>
  </si>
  <si>
    <t>QUEIJO MUSSARELA ZE</t>
  </si>
  <si>
    <t>QUEIJO PARM ITAMBE 50G RALADO</t>
  </si>
  <si>
    <t>QUEIJO VERDE CAMPO M</t>
  </si>
  <si>
    <t>QUIABO 700 GR</t>
  </si>
  <si>
    <t>QUIABO</t>
  </si>
  <si>
    <t>REQ CREM ITAMBE 200G NOLAC CP LIGHT</t>
  </si>
  <si>
    <t>REQUEIJAO</t>
  </si>
  <si>
    <t>REQ CR P ALEG 200G</t>
  </si>
  <si>
    <t>REQ CR V C LACFR 180</t>
  </si>
  <si>
    <t>REQUEIJAO ZERO LACTOSE</t>
  </si>
  <si>
    <t>REQ ITAMBE 200G</t>
  </si>
  <si>
    <t>REQ P ALEG 200G ZERO</t>
  </si>
  <si>
    <t>REQ SCALA 200G</t>
  </si>
  <si>
    <t>REQ S LA LIGHT TIROL</t>
  </si>
  <si>
    <t>REQUEIJAO CATUPIRY Z</t>
  </si>
  <si>
    <t>CATUPIRY</t>
  </si>
  <si>
    <t>REQUEIJAO ZERO LACTOSE COPO 200G SCALA</t>
  </si>
  <si>
    <t>REQU SCALA Z LAC 200</t>
  </si>
  <si>
    <t>RE S LAC POR AL 200G</t>
  </si>
  <si>
    <t>SABAO EM BARRA YPE U</t>
  </si>
  <si>
    <t>SABAO EM BARRA</t>
  </si>
  <si>
    <t>SAB G YPE 5X180 10 D</t>
  </si>
  <si>
    <t>SAB LIQUIDO LUX</t>
  </si>
  <si>
    <t>SABONETE LIQUIDO</t>
  </si>
  <si>
    <t>SAB LUX BOT 125G JAS</t>
  </si>
  <si>
    <t>SABONETE</t>
  </si>
  <si>
    <t>LUX</t>
  </si>
  <si>
    <t>SAB LUX BOT 85G LAV</t>
  </si>
  <si>
    <t>SABONETE LIQ LU</t>
  </si>
  <si>
    <t>SABONETE LUX 12</t>
  </si>
  <si>
    <t>SABONETE LUX 125G</t>
  </si>
  <si>
    <t>SABON LIQ PALM 900ML REFIL OLEO NUTRITIVO</t>
  </si>
  <si>
    <t>PALMOLIVE</t>
  </si>
  <si>
    <t>SABON LUX SUAVE BOTANICALS 85G BUQ JASMIM</t>
  </si>
  <si>
    <t>SABON LUX SUAVE BOTANICALS 85G ORQUID NEGRA</t>
  </si>
  <si>
    <t>SABON LUX SUAVE BOTANICALS 85G ROSAS FRANCESAS</t>
  </si>
  <si>
    <t>SALADA MISTA  C</t>
  </si>
  <si>
    <t>SALADA MISTA</t>
  </si>
  <si>
    <t>SALGADINHO NACHO QUE</t>
  </si>
  <si>
    <t>SALGADINHO</t>
  </si>
  <si>
    <t>SALMAO IPPON KG</t>
  </si>
  <si>
    <t>SALMAO</t>
  </si>
  <si>
    <t>SAL REF 1KG VASCONCELOS</t>
  </si>
  <si>
    <t>SAL REFINADO</t>
  </si>
  <si>
    <t>SANDWICH CHEDDAR 144</t>
  </si>
  <si>
    <t>SANDUICHE</t>
  </si>
  <si>
    <t>SANDWICH PRATO L 144</t>
  </si>
  <si>
    <t>SAPONAC CRE SAPOLIO</t>
  </si>
  <si>
    <t>SAPOLIO</t>
  </si>
  <si>
    <t>SAPON CIF LIMP</t>
  </si>
  <si>
    <t>CIF</t>
  </si>
  <si>
    <t>SB PAO FONTE DE FIBRAS 450G</t>
  </si>
  <si>
    <t>S/COXA FGO SADIA 1KG IQF CONG</t>
  </si>
  <si>
    <t>SOBRECOXA DE FRANGO</t>
  </si>
  <si>
    <t>SEM.  DE ABOBORA S/C CRUA -  KG</t>
  </si>
  <si>
    <t>SEMENTE DE ABOBORA</t>
  </si>
  <si>
    <t>SOBRECOXA FGO CONG BDJ 1KG SAD</t>
  </si>
  <si>
    <t>SOBRECOXA FGO SADIA</t>
  </si>
  <si>
    <t>SOBRE NESTLE GREGO 9</t>
  </si>
  <si>
    <t>STARLUX UD ESPONJA MULTIUSO 1UN</t>
  </si>
  <si>
    <t>STARLUX</t>
  </si>
  <si>
    <t>SUCO ALIANCA 1 5L</t>
  </si>
  <si>
    <t>SUCO INTEGRAL</t>
  </si>
  <si>
    <t>SUCO DE UVA INTEGRAL</t>
  </si>
  <si>
    <t>TEMP. ANA MARIA -  FRANGO</t>
  </si>
  <si>
    <t>TEMPERO</t>
  </si>
  <si>
    <t>TEMP.CHIM. S/ PIMENTA -  KG  FRACIONADO</t>
  </si>
  <si>
    <t>TEMPERO SABOR A MI ALH/SAL PT 300GR</t>
  </si>
  <si>
    <t>TIRA MAN VANISH 240G</t>
  </si>
  <si>
    <t>TOALHA MAXIM C</t>
  </si>
  <si>
    <t>TOALH PAP SCALA 120F</t>
  </si>
  <si>
    <t>TODDY</t>
  </si>
  <si>
    <t>TOMATE CEREJA 1 KG</t>
  </si>
  <si>
    <t>TOMATE CEREJA</t>
  </si>
  <si>
    <t>TOMATE EXTRA KG</t>
  </si>
  <si>
    <t>TOMATE</t>
  </si>
  <si>
    <t>TOMATE PELADO INTEIR</t>
  </si>
  <si>
    <t>TOMATE SWEET GRAPE UVA 180GR</t>
  </si>
  <si>
    <t>TOMATE UVA</t>
  </si>
  <si>
    <t>TOMATE UVA KG</t>
  </si>
  <si>
    <t>TOMATE UVA TREB</t>
  </si>
  <si>
    <t>TOMILHO KITANO 10G</t>
  </si>
  <si>
    <t>TOMILHO</t>
  </si>
  <si>
    <t>TORRADA BAUDUC</t>
  </si>
  <si>
    <t>TORRADA TRADICIONAL</t>
  </si>
  <si>
    <t>TORRADA BAUDUCCO 142</t>
  </si>
  <si>
    <t>TORRADA BAUDUC TRAD</t>
  </si>
  <si>
    <t>TORRADA VISCONTI 120 GR TRADICIONAL</t>
  </si>
  <si>
    <t>VISCONTI</t>
  </si>
  <si>
    <t>TORR BAUD 142G TRAD</t>
  </si>
  <si>
    <t>UVA PROCESSADA</t>
  </si>
  <si>
    <t>UVA</t>
  </si>
  <si>
    <t>UVA RED GLOBE K</t>
  </si>
  <si>
    <t>UVA THOMPSON</t>
  </si>
  <si>
    <t>UVA THOMPSON BANDEJA</t>
  </si>
  <si>
    <t>UVA VITORIA MIMO 400</t>
  </si>
  <si>
    <t>VAGEM 700 GR</t>
  </si>
  <si>
    <t>VAGEM</t>
  </si>
  <si>
    <t>VAGEM PROCESSADA</t>
  </si>
  <si>
    <t>VANISH PO VANIS</t>
  </si>
  <si>
    <t>VANISH RF 400G WHITE</t>
  </si>
  <si>
    <t>VH E C PERINI 750ML</t>
  </si>
  <si>
    <t>VINHO</t>
  </si>
  <si>
    <t>VINAGRE CASTELO 750ML ALCOOL</t>
  </si>
  <si>
    <t>VINAGRE</t>
  </si>
  <si>
    <t>CASTELO</t>
  </si>
  <si>
    <t>VINAGRE TOSCANO 750ML FRUTA MACA</t>
  </si>
  <si>
    <t>TOSCANO</t>
  </si>
  <si>
    <t>VIN ALC PALLAD 750ML</t>
  </si>
  <si>
    <t>VINHO C. LARGO TINTO SUAVE 750 ML</t>
  </si>
  <si>
    <t>ALIMENTOS</t>
  </si>
  <si>
    <t>CORPO E BANHO</t>
  </si>
  <si>
    <t>OUTROS</t>
  </si>
  <si>
    <t>BEBIDAS</t>
  </si>
  <si>
    <t>LIMPEZA</t>
  </si>
  <si>
    <t>CASA E COZINHA</t>
  </si>
  <si>
    <t>COGUMELO PARIS</t>
  </si>
  <si>
    <t>MEL</t>
  </si>
  <si>
    <t>PAO DE MANTEIGA</t>
  </si>
  <si>
    <t>PAPRICA</t>
  </si>
  <si>
    <t>QUEIJO PHILADELFIA</t>
  </si>
  <si>
    <t>TORRADA</t>
  </si>
  <si>
    <t>UVA VITORIA</t>
  </si>
  <si>
    <t>VEGETAIS CONGELADOS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</si>
</sst>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sz val="10.0"/>
      <color theme="1"/>
      <name val="Aptos Narrow"/>
      <scheme val="minor"/>
    </font>
    <font>
      <sz val="10.0"/>
      <color theme="1"/>
      <name val="Arial"/>
    </font>
    <font>
      <b/>
      <sz val="12.0"/>
      <color theme="1"/>
      <name val="Aptos Narrow"/>
    </font>
    <font>
      <color theme="1"/>
      <name val="Aptos Narrow"/>
      <scheme val="minor"/>
    </font>
    <font>
      <sz val="12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55.22"/>
    <col customWidth="1" min="2" max="2" width="28.78"/>
    <col customWidth="1" min="3" max="3" width="20.67"/>
    <col customWidth="1" min="4" max="4" width="15.11"/>
    <col customWidth="1" min="5" max="5" width="15.0"/>
    <col customWidth="1" min="6" max="20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15.75" customHeight="1">
      <c r="A2" s="2" t="s">
        <v>5</v>
      </c>
      <c r="B2" s="3" t="s">
        <v>6</v>
      </c>
      <c r="C2" s="1"/>
      <c r="D2" s="1" t="str">
        <f t="array" ref="D2">XLOOKUP(B2,CONFIG!A:A,CONFIG!B:B)</f>
        <v>ALIMENTOS</v>
      </c>
      <c r="E2" s="1" t="s">
        <v>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15.75" customHeight="1">
      <c r="A3" s="2" t="s">
        <v>8</v>
      </c>
      <c r="B3" s="3" t="s">
        <v>6</v>
      </c>
      <c r="C3" s="1"/>
      <c r="D3" s="1" t="str">
        <f t="array" ref="D3">XLOOKUP(B3,CONFIG!A:A,CONFIG!B:B)</f>
        <v>ALIMENTOS</v>
      </c>
      <c r="E3" s="1" t="s">
        <v>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ht="15.75" customHeight="1">
      <c r="A4" s="2" t="s">
        <v>9</v>
      </c>
      <c r="B4" s="3" t="s">
        <v>6</v>
      </c>
      <c r="C4" s="1"/>
      <c r="D4" s="1" t="str">
        <f t="array" ref="D4">XLOOKUP(B4,CONFIG!A:A,CONFIG!B:B)</f>
        <v>ALIMENTOS</v>
      </c>
      <c r="E4" s="1" t="s">
        <v>7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ht="15.75" customHeight="1">
      <c r="A5" s="2" t="s">
        <v>10</v>
      </c>
      <c r="B5" s="3" t="s">
        <v>11</v>
      </c>
      <c r="C5" s="1"/>
      <c r="D5" s="1" t="str">
        <f t="array" ref="D5">XLOOKUP(B5,CONFIG!A:A,CONFIG!B:B)</f>
        <v>CORPO E BANHO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ht="15.75" customHeight="1">
      <c r="A6" s="2" t="s">
        <v>12</v>
      </c>
      <c r="B6" s="3" t="s">
        <v>11</v>
      </c>
      <c r="C6" s="1"/>
      <c r="D6" s="1" t="str">
        <f t="array" ref="D6">XLOOKUP(B6,CONFIG!A:A,CONFIG!B:B)</f>
        <v>CORPO E BANHO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ht="15.75" customHeight="1">
      <c r="A7" s="2" t="s">
        <v>13</v>
      </c>
      <c r="B7" s="3" t="s">
        <v>14</v>
      </c>
      <c r="C7" s="1"/>
      <c r="D7" s="1" t="str">
        <f t="array" ref="D7">XLOOKUP(B7,CONFIG!A:A,CONFIG!B:B)</f>
        <v>ALIMENTOS</v>
      </c>
      <c r="E7" s="1" t="s">
        <v>15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ht="15.75" customHeight="1">
      <c r="A8" s="2" t="s">
        <v>16</v>
      </c>
      <c r="B8" s="3" t="s">
        <v>17</v>
      </c>
      <c r="C8" s="1" t="s">
        <v>18</v>
      </c>
      <c r="D8" s="1" t="str">
        <f t="array" ref="D8">XLOOKUP(B8,CONFIG!A:A,CONFIG!B:B)</f>
        <v>ALIMENTOS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ht="15.75" customHeight="1">
      <c r="A9" s="2" t="s">
        <v>19</v>
      </c>
      <c r="B9" s="3" t="s">
        <v>20</v>
      </c>
      <c r="C9" s="1" t="s">
        <v>21</v>
      </c>
      <c r="D9" s="1" t="str">
        <f t="array" ref="D9">XLOOKUP(B9,CONFIG!A:A,CONFIG!B:B)</f>
        <v>ALIMENTOS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ht="15.75" customHeight="1">
      <c r="A10" s="2" t="s">
        <v>22</v>
      </c>
      <c r="B10" s="3" t="s">
        <v>23</v>
      </c>
      <c r="C10" s="1" t="s">
        <v>24</v>
      </c>
      <c r="D10" s="1" t="str">
        <f t="array" ref="D10">XLOOKUP(B10,CONFIG!A:A,CONFIG!B:B)</f>
        <v>ALIMENTOS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ht="15.75" customHeight="1">
      <c r="A11" s="2" t="s">
        <v>25</v>
      </c>
      <c r="B11" s="3" t="s">
        <v>20</v>
      </c>
      <c r="C11" s="1" t="s">
        <v>21</v>
      </c>
      <c r="D11" s="1" t="str">
        <f t="array" ref="D11">XLOOKUP(B11,CONFIG!A:A,CONFIG!B:B)</f>
        <v>ALIMENTOS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ht="15.75" customHeight="1">
      <c r="A12" s="2" t="s">
        <v>26</v>
      </c>
      <c r="B12" s="3" t="s">
        <v>27</v>
      </c>
      <c r="C12" s="1"/>
      <c r="D12" s="1" t="str">
        <f t="array" ref="D12">XLOOKUP(B12,CONFIG!A:A,CONFIG!B:B)</f>
        <v>OUTROS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ht="15.75" customHeight="1">
      <c r="A13" s="2" t="s">
        <v>28</v>
      </c>
      <c r="B13" s="3" t="s">
        <v>29</v>
      </c>
      <c r="C13" s="1"/>
      <c r="D13" s="1" t="str">
        <f t="array" ref="D13">XLOOKUP(B13,CONFIG!A:A,CONFIG!B:B)</f>
        <v>BEBIDAS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ht="15.75" customHeight="1">
      <c r="A14" s="2" t="s">
        <v>30</v>
      </c>
      <c r="B14" s="3" t="s">
        <v>29</v>
      </c>
      <c r="C14" s="1"/>
      <c r="D14" s="1" t="str">
        <f t="array" ref="D14">XLOOKUP(B14,CONFIG!A:A,CONFIG!B:B)</f>
        <v>BEBIDAS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ht="15.75" customHeight="1">
      <c r="A15" s="2" t="s">
        <v>31</v>
      </c>
      <c r="B15" s="3" t="s">
        <v>29</v>
      </c>
      <c r="C15" s="1"/>
      <c r="D15" s="1" t="str">
        <f t="array" ref="D15">XLOOKUP(B15,CONFIG!A:A,CONFIG!B:B)</f>
        <v>BEBIDAS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ht="15.75" customHeight="1">
      <c r="A16" s="2" t="s">
        <v>32</v>
      </c>
      <c r="B16" s="3" t="s">
        <v>29</v>
      </c>
      <c r="C16" s="1"/>
      <c r="D16" s="1" t="str">
        <f t="array" ref="D16">XLOOKUP(B16,CONFIG!A:A,CONFIG!B:B)</f>
        <v>BEBIDAS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ht="15.75" customHeight="1">
      <c r="A17" s="2" t="s">
        <v>33</v>
      </c>
      <c r="B17" s="3" t="s">
        <v>29</v>
      </c>
      <c r="C17" s="1"/>
      <c r="D17" s="1" t="str">
        <f t="array" ref="D17">XLOOKUP(B17,CONFIG!A:A,CONFIG!B:B)</f>
        <v>BEBIDAS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ht="15.75" customHeight="1">
      <c r="A18" s="2" t="s">
        <v>34</v>
      </c>
      <c r="B18" s="3" t="s">
        <v>35</v>
      </c>
      <c r="C18" s="1"/>
      <c r="D18" s="1" t="str">
        <f t="array" ref="D18">XLOOKUP(B18,CONFIG!A:A,CONFIG!B:B)</f>
        <v>LIMPEZA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ht="15.75" customHeight="1">
      <c r="A19" s="2" t="s">
        <v>36</v>
      </c>
      <c r="B19" s="3" t="s">
        <v>36</v>
      </c>
      <c r="C19" s="1"/>
      <c r="D19" s="1" t="str">
        <f t="array" ref="D19">XLOOKUP(B19,CONFIG!A:A,CONFIG!B:B)</f>
        <v>ALIMENTOS</v>
      </c>
      <c r="E19" s="1" t="s">
        <v>15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ht="15.75" customHeight="1">
      <c r="A20" s="2" t="s">
        <v>37</v>
      </c>
      <c r="B20" s="3" t="s">
        <v>36</v>
      </c>
      <c r="C20" s="1"/>
      <c r="D20" s="1" t="str">
        <f t="array" ref="D20">XLOOKUP(B20,CONFIG!A:A,CONFIG!B:B)</f>
        <v>ALIMENTOS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ht="15.75" customHeight="1">
      <c r="A21" s="2" t="s">
        <v>38</v>
      </c>
      <c r="B21" s="3" t="s">
        <v>39</v>
      </c>
      <c r="C21" s="1"/>
      <c r="D21" s="1" t="str">
        <f t="array" ref="D21">XLOOKUP(B21,CONFIG!A:A,CONFIG!B:B)</f>
        <v>ALIMENTOS</v>
      </c>
      <c r="E21" s="1" t="s">
        <v>40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ht="15.75" customHeight="1">
      <c r="A22" s="2" t="s">
        <v>41</v>
      </c>
      <c r="B22" s="3" t="s">
        <v>39</v>
      </c>
      <c r="C22" s="1"/>
      <c r="D22" s="1" t="str">
        <f t="array" ref="D22">XLOOKUP(B22,CONFIG!A:A,CONFIG!B:B)</f>
        <v>ALIMENTOS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ht="15.75" customHeight="1">
      <c r="A23" s="2" t="s">
        <v>42</v>
      </c>
      <c r="B23" s="3" t="s">
        <v>43</v>
      </c>
      <c r="C23" s="1"/>
      <c r="D23" s="1" t="str">
        <f t="array" ref="D23">XLOOKUP(B23,CONFIG!A:A,CONFIG!B:B)</f>
        <v>ALIMENTOS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ht="15.75" customHeight="1">
      <c r="A24" s="2" t="s">
        <v>44</v>
      </c>
      <c r="B24" s="3" t="s">
        <v>43</v>
      </c>
      <c r="C24" s="1"/>
      <c r="D24" s="1" t="str">
        <f t="array" ref="D24">XLOOKUP(B24,CONFIG!A:A,CONFIG!B:B)</f>
        <v>ALIMENTOS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15.75" customHeight="1">
      <c r="A25" s="2" t="s">
        <v>45</v>
      </c>
      <c r="B25" s="3" t="s">
        <v>43</v>
      </c>
      <c r="C25" s="1"/>
      <c r="D25" s="1" t="str">
        <f t="array" ref="D25">XLOOKUP(B25,CONFIG!A:A,CONFIG!B:B)</f>
        <v>ALIMENTOS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ht="15.75" customHeight="1">
      <c r="A26" s="2" t="s">
        <v>46</v>
      </c>
      <c r="B26" s="3" t="s">
        <v>43</v>
      </c>
      <c r="C26" s="1"/>
      <c r="D26" s="1" t="str">
        <f t="array" ref="D26">XLOOKUP(B26,CONFIG!A:A,CONFIG!B:B)</f>
        <v>ALIMENTOS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ht="15.75" customHeight="1">
      <c r="A27" s="2" t="s">
        <v>47</v>
      </c>
      <c r="B27" s="3" t="s">
        <v>43</v>
      </c>
      <c r="C27" s="1"/>
      <c r="D27" s="1" t="str">
        <f t="array" ref="D27">XLOOKUP(B27,CONFIG!A:A,CONFIG!B:B)</f>
        <v>ALIMENTOS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ht="15.75" customHeight="1">
      <c r="A28" s="2" t="s">
        <v>48</v>
      </c>
      <c r="B28" s="3" t="s">
        <v>43</v>
      </c>
      <c r="C28" s="1"/>
      <c r="D28" s="1" t="str">
        <f t="array" ref="D28">XLOOKUP(B28,CONFIG!A:A,CONFIG!B:B)</f>
        <v>ALIMENTOS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ht="15.75" customHeight="1">
      <c r="A29" s="2" t="s">
        <v>49</v>
      </c>
      <c r="B29" s="3" t="s">
        <v>43</v>
      </c>
      <c r="C29" s="1"/>
      <c r="D29" s="1" t="str">
        <f t="array" ref="D29">XLOOKUP(B29,CONFIG!A:A,CONFIG!B:B)</f>
        <v>ALIMENTOS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ht="15.75" customHeight="1">
      <c r="A30" s="2" t="s">
        <v>50</v>
      </c>
      <c r="B30" s="3" t="s">
        <v>43</v>
      </c>
      <c r="C30" s="1"/>
      <c r="D30" s="1" t="str">
        <f t="array" ref="D30">XLOOKUP(B30,CONFIG!A:A,CONFIG!B:B)</f>
        <v>ALIMENTOS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ht="15.75" customHeight="1">
      <c r="A31" s="2" t="s">
        <v>51</v>
      </c>
      <c r="B31" s="3" t="s">
        <v>52</v>
      </c>
      <c r="C31" s="1" t="s">
        <v>53</v>
      </c>
      <c r="D31" s="1" t="str">
        <f t="array" ref="D31">XLOOKUP(B31,CONFIG!A:A,CONFIG!B:B)</f>
        <v>ALIMENTOS</v>
      </c>
      <c r="E31" s="1" t="s">
        <v>15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ht="15.75" customHeight="1">
      <c r="A32" s="2" t="s">
        <v>54</v>
      </c>
      <c r="B32" s="3" t="s">
        <v>55</v>
      </c>
      <c r="C32" s="1" t="s">
        <v>55</v>
      </c>
      <c r="D32" s="1" t="str">
        <f t="array" ref="D32">XLOOKUP(B32,CONFIG!A:A,CONFIG!B:B)</f>
        <v>LIMPEZA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ht="15.75" customHeight="1">
      <c r="A33" s="2" t="s">
        <v>56</v>
      </c>
      <c r="B33" s="3" t="s">
        <v>57</v>
      </c>
      <c r="C33" s="1" t="s">
        <v>58</v>
      </c>
      <c r="D33" s="1" t="str">
        <f t="array" ref="D33">XLOOKUP(B33,CONFIG!A:A,CONFIG!B:B)</f>
        <v>LIMPEZA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ht="15.75" customHeight="1">
      <c r="A34" s="2" t="s">
        <v>59</v>
      </c>
      <c r="B34" s="3" t="s">
        <v>60</v>
      </c>
      <c r="C34" s="1"/>
      <c r="D34" s="1" t="str">
        <f t="array" ref="D34">XLOOKUP(B34,CONFIG!A:A,CONFIG!B:B)</f>
        <v>ALIMENTOS</v>
      </c>
      <c r="E34" s="1" t="s">
        <v>61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ht="15.75" customHeight="1">
      <c r="A35" s="2" t="s">
        <v>62</v>
      </c>
      <c r="B35" s="3" t="s">
        <v>63</v>
      </c>
      <c r="C35" s="1"/>
      <c r="D35" s="1" t="str">
        <f t="array" ref="D35">XLOOKUP(B35,CONFIG!A:A,CONFIG!B:B)</f>
        <v>ALIMENTOS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ht="15.75" customHeight="1">
      <c r="A36" s="2" t="s">
        <v>64</v>
      </c>
      <c r="B36" s="3" t="s">
        <v>63</v>
      </c>
      <c r="C36" s="1"/>
      <c r="D36" s="1" t="str">
        <f t="array" ref="D36">XLOOKUP(B36,CONFIG!A:A,CONFIG!B:B)</f>
        <v>ALIMENTOS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ht="15.75" customHeight="1">
      <c r="A37" s="2" t="s">
        <v>65</v>
      </c>
      <c r="B37" s="3" t="s">
        <v>63</v>
      </c>
      <c r="C37" s="1"/>
      <c r="D37" s="1" t="str">
        <f t="array" ref="D37">XLOOKUP(B37,CONFIG!A:A,CONFIG!B:B)</f>
        <v>ALIMENTOS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ht="15.75" customHeight="1">
      <c r="A38" s="2" t="s">
        <v>66</v>
      </c>
      <c r="B38" s="3" t="s">
        <v>67</v>
      </c>
      <c r="C38" s="1"/>
      <c r="D38" s="1" t="str">
        <f t="array" ref="D38">XLOOKUP(B38,CONFIG!A:A,CONFIG!B:B)</f>
        <v>ALIMENTOS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ht="15.75" customHeight="1">
      <c r="A39" s="2" t="s">
        <v>68</v>
      </c>
      <c r="B39" s="3" t="s">
        <v>69</v>
      </c>
      <c r="C39" s="1" t="s">
        <v>70</v>
      </c>
      <c r="D39" s="1" t="str">
        <f t="array" ref="D39">XLOOKUP(B39,CONFIG!A:A,CONFIG!B:B)</f>
        <v>ALIMENTOS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ht="15.75" customHeight="1">
      <c r="A40" s="2" t="s">
        <v>71</v>
      </c>
      <c r="B40" s="3" t="s">
        <v>72</v>
      </c>
      <c r="C40" s="1"/>
      <c r="D40" s="1" t="str">
        <f t="array" ref="D40">XLOOKUP(B40,CONFIG!A:A,CONFIG!B:B)</f>
        <v>ALIMENTOS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ht="15.75" customHeight="1">
      <c r="A41" s="2" t="s">
        <v>73</v>
      </c>
      <c r="B41" s="3" t="s">
        <v>74</v>
      </c>
      <c r="C41" s="1"/>
      <c r="D41" s="1" t="str">
        <f t="array" ref="D41">XLOOKUP(B41,CONFIG!A:A,CONFIG!B:B)</f>
        <v>ALIMENTOS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ht="15.75" customHeight="1">
      <c r="A42" s="2" t="s">
        <v>75</v>
      </c>
      <c r="B42" s="3" t="s">
        <v>76</v>
      </c>
      <c r="C42" s="1"/>
      <c r="D42" s="1" t="str">
        <f t="array" ref="D42">XLOOKUP(B42,CONFIG!A:A,CONFIG!B:B)</f>
        <v>CASA E COZINHA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ht="15.75" customHeight="1">
      <c r="A43" s="2" t="s">
        <v>77</v>
      </c>
      <c r="B43" s="3" t="s">
        <v>78</v>
      </c>
      <c r="C43" s="1" t="s">
        <v>79</v>
      </c>
      <c r="D43" s="1" t="str">
        <f t="array" ref="D43">XLOOKUP(B43,CONFIG!A:A,CONFIG!B:B)</f>
        <v>ALIMENTOS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ht="15.75" customHeight="1">
      <c r="A44" s="2" t="s">
        <v>80</v>
      </c>
      <c r="B44" s="3" t="s">
        <v>81</v>
      </c>
      <c r="C44" s="1" t="s">
        <v>79</v>
      </c>
      <c r="D44" s="1" t="str">
        <f t="array" ref="D44">XLOOKUP(B44,CONFIG!A:A,CONFIG!B:B)</f>
        <v>ALIMENTOS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ht="15.75" customHeight="1">
      <c r="A45" s="2" t="s">
        <v>82</v>
      </c>
      <c r="B45" s="3" t="s">
        <v>83</v>
      </c>
      <c r="C45" s="1" t="s">
        <v>79</v>
      </c>
      <c r="D45" s="1" t="str">
        <f t="array" ref="D45">XLOOKUP(B45,CONFIG!A:A,CONFIG!B:B)</f>
        <v>ALIMENTOS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ht="15.75" customHeight="1">
      <c r="A46" s="2" t="s">
        <v>84</v>
      </c>
      <c r="B46" s="3" t="s">
        <v>85</v>
      </c>
      <c r="C46" s="1" t="s">
        <v>86</v>
      </c>
      <c r="D46" s="1" t="str">
        <f t="array" ref="D46">XLOOKUP(B46,CONFIG!A:A,CONFIG!B:B)</f>
        <v>ALIMENTOS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ht="15.75" customHeight="1">
      <c r="A47" s="2" t="s">
        <v>84</v>
      </c>
      <c r="B47" s="3" t="s">
        <v>85</v>
      </c>
      <c r="C47" s="1" t="s">
        <v>86</v>
      </c>
      <c r="D47" s="1" t="str">
        <f t="array" ref="D47">XLOOKUP(B47,CONFIG!A:A,CONFIG!B:B)</f>
        <v>ALIMENTOS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ht="15.75" customHeight="1">
      <c r="A48" s="2" t="s">
        <v>87</v>
      </c>
      <c r="B48" s="3" t="s">
        <v>85</v>
      </c>
      <c r="C48" s="1" t="s">
        <v>86</v>
      </c>
      <c r="D48" s="1" t="str">
        <f t="array" ref="D48">XLOOKUP(B48,CONFIG!A:A,CONFIG!B:B)</f>
        <v>ALIMENTOS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ht="15.75" customHeight="1">
      <c r="A49" s="2" t="s">
        <v>88</v>
      </c>
      <c r="B49" s="3" t="s">
        <v>89</v>
      </c>
      <c r="C49" s="1" t="s">
        <v>90</v>
      </c>
      <c r="D49" s="1" t="str">
        <f t="array" ref="D49">XLOOKUP(B49,CONFIG!A:A,CONFIG!B:B)</f>
        <v>ALIMENTOS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ht="15.75" customHeight="1">
      <c r="A50" s="2" t="s">
        <v>91</v>
      </c>
      <c r="B50" s="3" t="s">
        <v>92</v>
      </c>
      <c r="C50" s="1" t="s">
        <v>86</v>
      </c>
      <c r="D50" s="1" t="str">
        <f t="array" ref="D50">XLOOKUP(B50,CONFIG!A:A,CONFIG!B:B)</f>
        <v>ALIMENTOS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ht="15.75" customHeight="1">
      <c r="A51" s="2" t="s">
        <v>93</v>
      </c>
      <c r="B51" s="3" t="s">
        <v>92</v>
      </c>
      <c r="C51" s="1"/>
      <c r="D51" s="1" t="str">
        <f t="array" ref="D51">XLOOKUP(B51,CONFIG!A:A,CONFIG!B:B)</f>
        <v>ALIMENTOS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ht="15.75" customHeight="1">
      <c r="A52" s="2" t="s">
        <v>94</v>
      </c>
      <c r="B52" s="3" t="s">
        <v>95</v>
      </c>
      <c r="C52" s="1" t="s">
        <v>96</v>
      </c>
      <c r="D52" s="1" t="str">
        <f t="array" ref="D52">XLOOKUP(B52,CONFIG!A:A,CONFIG!B:B)</f>
        <v>ALIMENTOS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ht="15.75" customHeight="1">
      <c r="A53" s="2" t="s">
        <v>97</v>
      </c>
      <c r="B53" s="3" t="s">
        <v>98</v>
      </c>
      <c r="C53" s="1"/>
      <c r="D53" s="1" t="str">
        <f t="array" ref="D53">XLOOKUP(B53,CONFIG!A:A,CONFIG!B:B)</f>
        <v>ALIMENTOS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ht="15.75" customHeight="1">
      <c r="A54" s="2" t="s">
        <v>99</v>
      </c>
      <c r="B54" s="3" t="s">
        <v>98</v>
      </c>
      <c r="C54" s="1"/>
      <c r="D54" s="1" t="str">
        <f t="array" ref="D54">XLOOKUP(B54,CONFIG!A:A,CONFIG!B:B)</f>
        <v>ALIMENTOS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ht="15.75" customHeight="1">
      <c r="A55" s="2" t="s">
        <v>100</v>
      </c>
      <c r="B55" s="3" t="s">
        <v>101</v>
      </c>
      <c r="C55" s="1"/>
      <c r="D55" s="1" t="str">
        <f t="array" ref="D55">XLOOKUP(B55,CONFIG!A:A,CONFIG!B:B)</f>
        <v>ALIMENTOS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ht="15.75" customHeight="1">
      <c r="A56" s="2" t="s">
        <v>102</v>
      </c>
      <c r="B56" s="3" t="s">
        <v>101</v>
      </c>
      <c r="C56" s="1"/>
      <c r="D56" s="1" t="str">
        <f t="array" ref="D56">XLOOKUP(B56,CONFIG!A:A,CONFIG!B:B)</f>
        <v>ALIMENTOS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ht="15.75" customHeight="1">
      <c r="A57" s="2" t="s">
        <v>103</v>
      </c>
      <c r="B57" s="3" t="s">
        <v>103</v>
      </c>
      <c r="C57" s="1"/>
      <c r="D57" s="1" t="str">
        <f t="array" ref="D57">XLOOKUP(B57,CONFIG!A:A,CONFIG!B:B)</f>
        <v>ALIMENTOS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ht="15.75" customHeight="1">
      <c r="A58" s="2" t="s">
        <v>104</v>
      </c>
      <c r="B58" s="3" t="s">
        <v>103</v>
      </c>
      <c r="C58" s="1"/>
      <c r="D58" s="1" t="str">
        <f t="array" ref="D58">XLOOKUP(B58,CONFIG!A:A,CONFIG!B:B)</f>
        <v>ALIMENTOS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ht="15.75" customHeight="1">
      <c r="A59" s="2" t="s">
        <v>105</v>
      </c>
      <c r="B59" s="3" t="s">
        <v>106</v>
      </c>
      <c r="C59" s="1"/>
      <c r="D59" s="1" t="str">
        <f t="array" ref="D59">XLOOKUP(B59,CONFIG!A:A,CONFIG!B:B)</f>
        <v>ALIMENTOS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ht="15.75" customHeight="1">
      <c r="A60" s="2" t="s">
        <v>107</v>
      </c>
      <c r="B60" s="3" t="s">
        <v>108</v>
      </c>
      <c r="C60" s="1"/>
      <c r="D60" s="1" t="str">
        <f t="array" ref="D60">XLOOKUP(B60,CONFIG!A:A,CONFIG!B:B)</f>
        <v>ALIMENTOS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ht="15.75" customHeight="1">
      <c r="A61" s="2" t="s">
        <v>109</v>
      </c>
      <c r="B61" s="3" t="s">
        <v>110</v>
      </c>
      <c r="C61" s="1"/>
      <c r="D61" s="1" t="str">
        <f t="array" ref="D61">XLOOKUP(B61,CONFIG!A:A,CONFIG!B:B)</f>
        <v>ALIMENTOS</v>
      </c>
      <c r="E61" s="1" t="s">
        <v>61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ht="15.75" customHeight="1">
      <c r="A62" s="2" t="s">
        <v>111</v>
      </c>
      <c r="B62" s="3" t="s">
        <v>110</v>
      </c>
      <c r="C62" s="1"/>
      <c r="D62" s="1" t="str">
        <f t="array" ref="D62">XLOOKUP(B62,CONFIG!A:A,CONFIG!B:B)</f>
        <v>ALIMENTOS</v>
      </c>
      <c r="E62" s="1" t="s">
        <v>61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ht="15.75" customHeight="1">
      <c r="A63" s="2" t="s">
        <v>112</v>
      </c>
      <c r="B63" s="3" t="s">
        <v>110</v>
      </c>
      <c r="C63" s="1"/>
      <c r="D63" s="1" t="str">
        <f t="array" ref="D63">XLOOKUP(B63,CONFIG!A:A,CONFIG!B:B)</f>
        <v>ALIMENTOS</v>
      </c>
      <c r="E63" s="1" t="s">
        <v>61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ht="15.75" customHeight="1">
      <c r="A64" s="2" t="s">
        <v>113</v>
      </c>
      <c r="B64" s="3" t="s">
        <v>110</v>
      </c>
      <c r="C64" s="1"/>
      <c r="D64" s="1" t="str">
        <f t="array" ref="D64">XLOOKUP(B64,CONFIG!A:A,CONFIG!B:B)</f>
        <v>ALIMENTOS</v>
      </c>
      <c r="E64" s="1" t="s">
        <v>61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ht="15.75" customHeight="1">
      <c r="A65" s="2" t="s">
        <v>113</v>
      </c>
      <c r="B65" s="3" t="s">
        <v>110</v>
      </c>
      <c r="C65" s="1"/>
      <c r="D65" s="1" t="str">
        <f t="array" ref="D65">XLOOKUP(B65,CONFIG!A:A,CONFIG!B:B)</f>
        <v>ALIMENTOS</v>
      </c>
      <c r="E65" s="1" t="s">
        <v>61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5.75" customHeight="1">
      <c r="A66" s="2" t="s">
        <v>114</v>
      </c>
      <c r="B66" s="3" t="s">
        <v>115</v>
      </c>
      <c r="C66" s="1"/>
      <c r="D66" s="1" t="str">
        <f t="array" ref="D66">XLOOKUP(B66,CONFIG!A:A,CONFIG!B:B)</f>
        <v>ALIMENTOS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ht="15.75" customHeight="1">
      <c r="A67" s="2" t="s">
        <v>115</v>
      </c>
      <c r="B67" s="3" t="s">
        <v>110</v>
      </c>
      <c r="C67" s="1"/>
      <c r="D67" s="1" t="str">
        <f t="array" ref="D67">XLOOKUP(B67,CONFIG!A:A,CONFIG!B:B)</f>
        <v>ALIMENTOS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ht="15.75" customHeight="1">
      <c r="A68" s="2" t="s">
        <v>116</v>
      </c>
      <c r="B68" s="3" t="s">
        <v>115</v>
      </c>
      <c r="C68" s="1"/>
      <c r="D68" s="1" t="str">
        <f t="array" ref="D68">XLOOKUP(B68,CONFIG!A:A,CONFIG!B:B)</f>
        <v>ALIMENTOS</v>
      </c>
      <c r="E68" s="1" t="s">
        <v>61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ht="15.75" customHeight="1">
      <c r="A69" s="2" t="s">
        <v>117</v>
      </c>
      <c r="B69" s="3" t="s">
        <v>118</v>
      </c>
      <c r="C69" s="1"/>
      <c r="D69" s="1" t="str">
        <f t="array" ref="D69">XLOOKUP(B69,CONFIG!A:A,CONFIG!B:B)</f>
        <v>ALIMENTOS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ht="15.75" customHeight="1">
      <c r="A70" s="2" t="s">
        <v>119</v>
      </c>
      <c r="B70" s="3" t="s">
        <v>120</v>
      </c>
      <c r="C70" s="1"/>
      <c r="D70" s="1" t="str">
        <f t="array" ref="D70">XLOOKUP(B70,CONFIG!A:A,CONFIG!B:B)</f>
        <v>ALIMENTOS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ht="15.75" customHeight="1">
      <c r="A71" s="2" t="s">
        <v>121</v>
      </c>
      <c r="B71" s="3" t="s">
        <v>120</v>
      </c>
      <c r="C71" s="1"/>
      <c r="D71" s="1" t="str">
        <f t="array" ref="D71">XLOOKUP(B71,CONFIG!A:A,CONFIG!B:B)</f>
        <v>ALIMENTOS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ht="15.75" customHeight="1">
      <c r="A72" s="2" t="s">
        <v>122</v>
      </c>
      <c r="B72" s="3" t="s">
        <v>120</v>
      </c>
      <c r="C72" s="1"/>
      <c r="D72" s="1" t="str">
        <f t="array" ref="D72">XLOOKUP(B72,CONFIG!A:A,CONFIG!B:B)</f>
        <v>ALIMENTOS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ht="15.75" customHeight="1">
      <c r="A73" s="2" t="s">
        <v>123</v>
      </c>
      <c r="B73" s="3" t="s">
        <v>124</v>
      </c>
      <c r="C73" s="1" t="s">
        <v>125</v>
      </c>
      <c r="D73" s="1" t="str">
        <f t="array" ref="D73">XLOOKUP(B73,CONFIG!A:A,CONFIG!B:B)</f>
        <v>ALIMENTOS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ht="15.75" customHeight="1">
      <c r="A74" s="2" t="s">
        <v>126</v>
      </c>
      <c r="B74" s="3" t="s">
        <v>124</v>
      </c>
      <c r="C74" s="1"/>
      <c r="D74" s="1" t="str">
        <f t="array" ref="D74">XLOOKUP(B74,CONFIG!A:A,CONFIG!B:B)</f>
        <v>ALIMENTOS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ht="15.75" customHeight="1">
      <c r="A75" s="2" t="s">
        <v>127</v>
      </c>
      <c r="B75" s="3" t="s">
        <v>124</v>
      </c>
      <c r="C75" s="1"/>
      <c r="D75" s="1" t="str">
        <f t="array" ref="D75">XLOOKUP(B75,CONFIG!A:A,CONFIG!B:B)</f>
        <v>ALIMENTOS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ht="15.75" customHeight="1">
      <c r="A76" s="2" t="s">
        <v>128</v>
      </c>
      <c r="B76" s="3" t="s">
        <v>129</v>
      </c>
      <c r="C76" s="1"/>
      <c r="D76" s="1" t="str">
        <f t="array" ref="D76">XLOOKUP(B76,CONFIG!A:A,CONFIG!B:B)</f>
        <v>BEBIDAS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ht="15.75" customHeight="1">
      <c r="A77" s="2" t="s">
        <v>130</v>
      </c>
      <c r="B77" s="3" t="s">
        <v>131</v>
      </c>
      <c r="C77" s="1" t="s">
        <v>132</v>
      </c>
      <c r="D77" s="1" t="str">
        <f t="array" ref="D77">XLOOKUP(B77,CONFIG!A:A,CONFIG!B:B)</f>
        <v>BEBIDAS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ht="15.75" customHeight="1">
      <c r="A78" s="2" t="s">
        <v>133</v>
      </c>
      <c r="B78" s="3" t="s">
        <v>134</v>
      </c>
      <c r="C78" s="1"/>
      <c r="D78" s="1" t="str">
        <f t="array" ref="D78">XLOOKUP(B78,CONFIG!A:A,CONFIG!B:B)</f>
        <v>ALIMENTOS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ht="15.75" customHeight="1">
      <c r="A79" s="2" t="s">
        <v>135</v>
      </c>
      <c r="B79" s="3" t="s">
        <v>134</v>
      </c>
      <c r="C79" s="1"/>
      <c r="D79" s="1" t="str">
        <f t="array" ref="D79">XLOOKUP(B79,CONFIG!A:A,CONFIG!B:B)</f>
        <v>ALIMENTOS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ht="15.75" customHeight="1">
      <c r="A80" s="2" t="s">
        <v>136</v>
      </c>
      <c r="B80" s="3" t="s">
        <v>137</v>
      </c>
      <c r="C80" s="1"/>
      <c r="D80" s="1" t="str">
        <f t="array" ref="D80">XLOOKUP(B80,CONFIG!A:A,CONFIG!B:B)</f>
        <v>ALIMENTOS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ht="15.75" customHeight="1">
      <c r="A81" s="2" t="s">
        <v>138</v>
      </c>
      <c r="B81" s="3" t="s">
        <v>137</v>
      </c>
      <c r="C81" s="1" t="s">
        <v>139</v>
      </c>
      <c r="D81" s="1" t="str">
        <f t="array" ref="D81">XLOOKUP(B81,CONFIG!A:A,CONFIG!B:B)</f>
        <v>ALIMENTOS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ht="15.75" customHeight="1">
      <c r="A82" s="2" t="s">
        <v>140</v>
      </c>
      <c r="B82" s="3" t="s">
        <v>36</v>
      </c>
      <c r="C82" s="1"/>
      <c r="D82" s="1" t="str">
        <f t="array" ref="D82">XLOOKUP(B82,CONFIG!A:A,CONFIG!B:B)</f>
        <v>ALIMENTOS</v>
      </c>
      <c r="E82" s="1" t="s">
        <v>15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ht="15.75" customHeight="1">
      <c r="A83" s="2" t="s">
        <v>141</v>
      </c>
      <c r="B83" s="3" t="s">
        <v>142</v>
      </c>
      <c r="C83" s="1" t="s">
        <v>143</v>
      </c>
      <c r="D83" s="1" t="str">
        <f t="array" ref="D83">XLOOKUP(B83,CONFIG!A:A,CONFIG!B:B)</f>
        <v>OUTROS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ht="15.75" customHeight="1">
      <c r="A84" s="2" t="s">
        <v>144</v>
      </c>
      <c r="B84" s="3" t="s">
        <v>145</v>
      </c>
      <c r="C84" s="1" t="s">
        <v>146</v>
      </c>
      <c r="D84" s="1" t="str">
        <f t="array" ref="D84">XLOOKUP(B84,CONFIG!A:A,CONFIG!B:B)</f>
        <v>ALIMENTOS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ht="15.75" customHeight="1">
      <c r="A85" s="2" t="s">
        <v>147</v>
      </c>
      <c r="B85" s="3" t="s">
        <v>148</v>
      </c>
      <c r="C85" s="1" t="s">
        <v>149</v>
      </c>
      <c r="D85" s="1" t="str">
        <f t="array" ref="D85">XLOOKUP(B85,CONFIG!A:A,CONFIG!B:B)</f>
        <v>ALIMENTOS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ht="15.75" customHeight="1">
      <c r="A86" s="2" t="s">
        <v>150</v>
      </c>
      <c r="B86" s="3" t="s">
        <v>148</v>
      </c>
      <c r="C86" s="1" t="s">
        <v>149</v>
      </c>
      <c r="D86" s="1" t="str">
        <f t="array" ref="D86">XLOOKUP(B86,CONFIG!A:A,CONFIG!B:B)</f>
        <v>ALIMENTOS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ht="15.75" customHeight="1">
      <c r="A87" s="2" t="s">
        <v>151</v>
      </c>
      <c r="B87" s="3" t="s">
        <v>152</v>
      </c>
      <c r="C87" s="1"/>
      <c r="D87" s="1" t="str">
        <f t="array" ref="D87">XLOOKUP(B87,CONFIG!A:A,CONFIG!B:B)</f>
        <v>ALIMENTOS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ht="15.75" customHeight="1">
      <c r="A88" s="2" t="s">
        <v>153</v>
      </c>
      <c r="B88" s="3" t="s">
        <v>154</v>
      </c>
      <c r="C88" s="1" t="s">
        <v>155</v>
      </c>
      <c r="D88" s="1" t="str">
        <f t="array" ref="D88">XLOOKUP(B88,CONFIG!A:A,CONFIG!B:B)</f>
        <v>ALIMENTOS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ht="15.75" customHeight="1">
      <c r="A89" s="2" t="s">
        <v>156</v>
      </c>
      <c r="B89" s="3" t="s">
        <v>157</v>
      </c>
      <c r="C89" s="1"/>
      <c r="D89" s="1" t="str">
        <f t="array" ref="D89">XLOOKUP(B89,CONFIG!A:A,CONFIG!B:B)</f>
        <v>ALIMENTOS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ht="15.75" customHeight="1">
      <c r="A90" s="2" t="s">
        <v>158</v>
      </c>
      <c r="B90" s="3" t="s">
        <v>159</v>
      </c>
      <c r="C90" s="1"/>
      <c r="D90" s="1" t="str">
        <f t="array" ref="D90">XLOOKUP(B90,CONFIG!A:A,CONFIG!B:B)</f>
        <v>ALIMENTOS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ht="15.75" customHeight="1">
      <c r="A91" s="2" t="s">
        <v>160</v>
      </c>
      <c r="B91" s="3" t="s">
        <v>6</v>
      </c>
      <c r="C91" s="1"/>
      <c r="D91" s="1" t="str">
        <f t="array" ref="D91">XLOOKUP(B91,CONFIG!A:A,CONFIG!B:B)</f>
        <v>ALIMENTOS</v>
      </c>
      <c r="E91" s="1" t="s">
        <v>7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ht="15.75" customHeight="1">
      <c r="A92" s="2" t="s">
        <v>161</v>
      </c>
      <c r="B92" s="3" t="s">
        <v>6</v>
      </c>
      <c r="C92" s="1"/>
      <c r="D92" s="1" t="str">
        <f t="array" ref="D92">XLOOKUP(B92,CONFIG!A:A,CONFIG!B:B)</f>
        <v>ALIMENTOS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ht="15.75" customHeight="1">
      <c r="A93" s="2" t="s">
        <v>162</v>
      </c>
      <c r="B93" s="3" t="s">
        <v>163</v>
      </c>
      <c r="C93" s="1" t="s">
        <v>164</v>
      </c>
      <c r="D93" s="1" t="str">
        <f t="array" ref="D93">XLOOKUP(B93,CONFIG!A:A,CONFIG!B:B)</f>
        <v>BEBIDAS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ht="15.75" customHeight="1">
      <c r="A94" s="2" t="s">
        <v>165</v>
      </c>
      <c r="B94" s="3" t="s">
        <v>163</v>
      </c>
      <c r="C94" s="1" t="s">
        <v>164</v>
      </c>
      <c r="D94" s="1" t="str">
        <f t="array" ref="D94">XLOOKUP(B94,CONFIG!A:A,CONFIG!B:B)</f>
        <v>BEBIDAS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ht="15.75" customHeight="1">
      <c r="A95" s="2" t="s">
        <v>166</v>
      </c>
      <c r="B95" s="3" t="s">
        <v>163</v>
      </c>
      <c r="C95" s="1" t="s">
        <v>164</v>
      </c>
      <c r="D95" s="1" t="str">
        <f t="array" ref="D95">XLOOKUP(B95,CONFIG!A:A,CONFIG!B:B)</f>
        <v>BEBIDAS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ht="15.75" customHeight="1">
      <c r="A96" s="2" t="s">
        <v>167</v>
      </c>
      <c r="B96" s="3" t="s">
        <v>163</v>
      </c>
      <c r="C96" s="1" t="s">
        <v>164</v>
      </c>
      <c r="D96" s="1" t="str">
        <f t="array" ref="D96">XLOOKUP(B96,CONFIG!A:A,CONFIG!B:B)</f>
        <v>BEBIDAS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ht="15.75" customHeight="1">
      <c r="A97" s="2" t="s">
        <v>168</v>
      </c>
      <c r="B97" s="3" t="s">
        <v>163</v>
      </c>
      <c r="C97" s="1" t="s">
        <v>164</v>
      </c>
      <c r="D97" s="1" t="str">
        <f t="array" ref="D97">XLOOKUP(B97,CONFIG!A:A,CONFIG!B:B)</f>
        <v>BEBIDAS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ht="15.75" customHeight="1">
      <c r="A98" s="2" t="s">
        <v>168</v>
      </c>
      <c r="B98" s="3" t="s">
        <v>163</v>
      </c>
      <c r="C98" s="1" t="s">
        <v>164</v>
      </c>
      <c r="D98" s="1" t="str">
        <f t="array" ref="D98">XLOOKUP(B98,CONFIG!A:A,CONFIG!B:B)</f>
        <v>BEBIDAS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ht="15.75" customHeight="1">
      <c r="A99" s="2" t="s">
        <v>169</v>
      </c>
      <c r="B99" s="3" t="s">
        <v>163</v>
      </c>
      <c r="C99" s="1" t="s">
        <v>164</v>
      </c>
      <c r="D99" s="1" t="str">
        <f t="array" ref="D99">XLOOKUP(B99,CONFIG!A:A,CONFIG!B:B)</f>
        <v>BEBIDAS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ht="15.75" customHeight="1">
      <c r="A100" s="2" t="s">
        <v>169</v>
      </c>
      <c r="B100" s="3" t="s">
        <v>163</v>
      </c>
      <c r="C100" s="1" t="s">
        <v>164</v>
      </c>
      <c r="D100" s="1" t="str">
        <f t="array" ref="D100">XLOOKUP(B100,CONFIG!A:A,CONFIG!B:B)</f>
        <v>BEBIDAS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ht="15.75" customHeight="1">
      <c r="A101" s="2" t="s">
        <v>170</v>
      </c>
      <c r="B101" s="3" t="s">
        <v>163</v>
      </c>
      <c r="C101" s="1"/>
      <c r="D101" s="1" t="str">
        <f t="array" ref="D101">XLOOKUP(B101,CONFIG!A:A,CONFIG!B:B)</f>
        <v>BEBIDAS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ht="15.75" customHeight="1">
      <c r="A102" s="2" t="s">
        <v>170</v>
      </c>
      <c r="B102" s="3" t="s">
        <v>163</v>
      </c>
      <c r="C102" s="1"/>
      <c r="D102" s="1" t="str">
        <f t="array" ref="D102">XLOOKUP(B102,CONFIG!A:A,CONFIG!B:B)</f>
        <v>BEBIDAS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ht="15.75" customHeight="1">
      <c r="A103" s="2" t="s">
        <v>171</v>
      </c>
      <c r="B103" s="3" t="s">
        <v>163</v>
      </c>
      <c r="C103" s="1" t="s">
        <v>172</v>
      </c>
      <c r="D103" s="1" t="str">
        <f t="array" ref="D103">XLOOKUP(B103,CONFIG!A:A,CONFIG!B:B)</f>
        <v>BEBIDAS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ht="15.75" customHeight="1">
      <c r="A104" s="2" t="s">
        <v>173</v>
      </c>
      <c r="B104" s="3" t="s">
        <v>163</v>
      </c>
      <c r="C104" s="1" t="s">
        <v>172</v>
      </c>
      <c r="D104" s="1" t="str">
        <f t="array" ref="D104">XLOOKUP(B104,CONFIG!A:A,CONFIG!B:B)</f>
        <v>BEBIDAS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ht="15.75" customHeight="1">
      <c r="A105" s="2" t="s">
        <v>174</v>
      </c>
      <c r="B105" s="3" t="s">
        <v>175</v>
      </c>
      <c r="C105" s="1"/>
      <c r="D105" s="1" t="str">
        <f t="array" ref="D105">XLOOKUP(B105,CONFIG!A:A,CONFIG!B:B)</f>
        <v>BEBIDAS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ht="15.75" customHeight="1">
      <c r="A106" s="2" t="s">
        <v>176</v>
      </c>
      <c r="B106" s="3" t="s">
        <v>163</v>
      </c>
      <c r="C106" s="1"/>
      <c r="D106" s="1" t="str">
        <f t="array" ref="D106">XLOOKUP(B106,CONFIG!A:A,CONFIG!B:B)</f>
        <v>BEBIDAS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ht="15.75" customHeight="1">
      <c r="A107" s="2" t="s">
        <v>177</v>
      </c>
      <c r="B107" s="3" t="s">
        <v>163</v>
      </c>
      <c r="C107" s="1" t="s">
        <v>164</v>
      </c>
      <c r="D107" s="1" t="str">
        <f t="array" ref="D107">XLOOKUP(B107,CONFIG!A:A,CONFIG!B:B)</f>
        <v>BEBIDAS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ht="15.75" customHeight="1">
      <c r="A108" s="2" t="s">
        <v>178</v>
      </c>
      <c r="B108" s="3" t="s">
        <v>179</v>
      </c>
      <c r="C108" s="1" t="s">
        <v>180</v>
      </c>
      <c r="D108" s="1" t="str">
        <f t="array" ref="D108">XLOOKUP(B108,CONFIG!A:A,CONFIG!B:B)</f>
        <v>ALIMENTOS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ht="15.75" customHeight="1">
      <c r="A109" s="2" t="s">
        <v>181</v>
      </c>
      <c r="B109" s="3" t="s">
        <v>182</v>
      </c>
      <c r="C109" s="1"/>
      <c r="D109" s="1" t="str">
        <f t="array" ref="D109">XLOOKUP(B109,CONFIG!A:A,CONFIG!B:B)</f>
        <v>ALIMENTOS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ht="15.75" customHeight="1">
      <c r="A110" s="2" t="s">
        <v>183</v>
      </c>
      <c r="B110" s="3" t="s">
        <v>184</v>
      </c>
      <c r="C110" s="1" t="s">
        <v>185</v>
      </c>
      <c r="D110" s="1" t="str">
        <f t="array" ref="D110">XLOOKUP(B110,CONFIG!A:A,CONFIG!B:B)</f>
        <v>ALIMENTOS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ht="15.75" customHeight="1">
      <c r="A111" s="2" t="s">
        <v>186</v>
      </c>
      <c r="B111" s="3" t="s">
        <v>187</v>
      </c>
      <c r="C111" s="1" t="s">
        <v>185</v>
      </c>
      <c r="D111" s="1" t="str">
        <f t="array" ref="D111">XLOOKUP(B111,CONFIG!A:A,CONFIG!B:B)</f>
        <v>ALIMENTOS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ht="15.75" customHeight="1">
      <c r="A112" s="2" t="s">
        <v>188</v>
      </c>
      <c r="B112" s="3" t="s">
        <v>182</v>
      </c>
      <c r="C112" s="1" t="s">
        <v>185</v>
      </c>
      <c r="D112" s="1" t="str">
        <f t="array" ref="D112">XLOOKUP(B112,CONFIG!A:A,CONFIG!B:B)</f>
        <v>ALIMENTOS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ht="15.75" customHeight="1">
      <c r="A113" s="2" t="s">
        <v>189</v>
      </c>
      <c r="B113" s="3" t="s">
        <v>182</v>
      </c>
      <c r="C113" s="1" t="s">
        <v>185</v>
      </c>
      <c r="D113" s="1" t="str">
        <f t="array" ref="D113">XLOOKUP(B113,CONFIG!A:A,CONFIG!B:B)</f>
        <v>ALIMENTOS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ht="15.75" customHeight="1">
      <c r="A114" s="2" t="s">
        <v>190</v>
      </c>
      <c r="B114" s="3" t="s">
        <v>182</v>
      </c>
      <c r="C114" s="1"/>
      <c r="D114" s="1" t="str">
        <f t="array" ref="D114">XLOOKUP(B114,CONFIG!A:A,CONFIG!B:B)</f>
        <v>ALIMENTOS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ht="15.75" customHeight="1">
      <c r="A115" s="2" t="s">
        <v>191</v>
      </c>
      <c r="B115" s="3" t="s">
        <v>192</v>
      </c>
      <c r="C115" s="1" t="s">
        <v>180</v>
      </c>
      <c r="D115" s="1" t="str">
        <f t="array" ref="D115">XLOOKUP(B115,CONFIG!A:A,CONFIG!B:B)</f>
        <v>ALIMENTOS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ht="15.75" customHeight="1">
      <c r="A116" s="2" t="s">
        <v>193</v>
      </c>
      <c r="B116" s="3" t="s">
        <v>194</v>
      </c>
      <c r="C116" s="1" t="s">
        <v>195</v>
      </c>
      <c r="D116" s="1" t="str">
        <f t="array" ref="D116">XLOOKUP(B116,CONFIG!A:A,CONFIG!B:B)</f>
        <v>ALIMENTOS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ht="15.75" customHeight="1">
      <c r="A117" s="2" t="s">
        <v>196</v>
      </c>
      <c r="B117" s="3" t="s">
        <v>197</v>
      </c>
      <c r="C117" s="1"/>
      <c r="D117" s="1" t="str">
        <f t="array" ref="D117">XLOOKUP(B117,CONFIG!A:A,CONFIG!B:B)</f>
        <v>ALIMENTOS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ht="15.75" customHeight="1">
      <c r="A118" s="2" t="s">
        <v>198</v>
      </c>
      <c r="B118" s="3" t="s">
        <v>197</v>
      </c>
      <c r="C118" s="1"/>
      <c r="D118" s="1" t="str">
        <f t="array" ref="D118">XLOOKUP(B118,CONFIG!A:A,CONFIG!B:B)</f>
        <v>ALIMENTOS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ht="15.75" customHeight="1">
      <c r="A119" s="2" t="s">
        <v>199</v>
      </c>
      <c r="B119" s="3" t="s">
        <v>199</v>
      </c>
      <c r="C119" s="1"/>
      <c r="D119" s="1" t="str">
        <f t="array" ref="D119">XLOOKUP(B119,CONFIG!A:A,CONFIG!B:B)</f>
        <v>ALIMENTOS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ht="15.75" customHeight="1">
      <c r="A120" s="2" t="s">
        <v>200</v>
      </c>
      <c r="B120" s="3" t="s">
        <v>201</v>
      </c>
      <c r="C120" s="1"/>
      <c r="D120" s="1" t="str">
        <f t="array" ref="D120">XLOOKUP(B120,CONFIG!A:A,CONFIG!B:B)</f>
        <v>ALIMENTOS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ht="15.75" customHeight="1">
      <c r="A121" s="2" t="s">
        <v>202</v>
      </c>
      <c r="B121" s="3" t="s">
        <v>201</v>
      </c>
      <c r="C121" s="1"/>
      <c r="D121" s="1" t="str">
        <f t="array" ref="D121">XLOOKUP(B121,CONFIG!A:A,CONFIG!B:B)</f>
        <v>ALIMENTOS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ht="15.75" customHeight="1">
      <c r="A122" s="2" t="s">
        <v>203</v>
      </c>
      <c r="B122" s="3" t="s">
        <v>201</v>
      </c>
      <c r="C122" s="1"/>
      <c r="D122" s="1" t="str">
        <f t="array" ref="D122">XLOOKUP(B122,CONFIG!A:A,CONFIG!B:B)</f>
        <v>ALIMENTOS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ht="15.75" customHeight="1">
      <c r="A123" s="2" t="s">
        <v>204</v>
      </c>
      <c r="B123" s="3" t="s">
        <v>205</v>
      </c>
      <c r="C123" s="1"/>
      <c r="D123" s="1" t="str">
        <f t="array" ref="D123">XLOOKUP(B123,CONFIG!A:A,CONFIG!B:B)</f>
        <v>ALIMENTOS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ht="15.75" customHeight="1">
      <c r="A124" s="2" t="s">
        <v>206</v>
      </c>
      <c r="B124" s="3" t="s">
        <v>207</v>
      </c>
      <c r="C124" s="1"/>
      <c r="D124" s="1" t="str">
        <f t="array" ref="D124">XLOOKUP(B124,CONFIG!A:A,CONFIG!B:B)</f>
        <v>ALIMENTOS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ht="15.75" customHeight="1">
      <c r="A125" s="2" t="s">
        <v>206</v>
      </c>
      <c r="B125" s="3" t="s">
        <v>207</v>
      </c>
      <c r="C125" s="1"/>
      <c r="D125" s="1" t="str">
        <f t="array" ref="D125">XLOOKUP(B125,CONFIG!A:A,CONFIG!B:B)</f>
        <v>ALIMENTOS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ht="15.75" customHeight="1">
      <c r="A126" s="2" t="s">
        <v>208</v>
      </c>
      <c r="B126" s="3" t="s">
        <v>207</v>
      </c>
      <c r="C126" s="1"/>
      <c r="D126" s="1" t="str">
        <f t="array" ref="D126">XLOOKUP(B126,CONFIG!A:A,CONFIG!B:B)</f>
        <v>ALIMENTOS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ht="15.75" customHeight="1">
      <c r="A127" s="2" t="s">
        <v>209</v>
      </c>
      <c r="B127" s="3" t="s">
        <v>210</v>
      </c>
      <c r="C127" s="1" t="s">
        <v>211</v>
      </c>
      <c r="D127" s="1" t="str">
        <f t="array" ref="D127">XLOOKUP(B127,CONFIG!A:A,CONFIG!B:B)</f>
        <v>ALIMENTOS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ht="15.75" customHeight="1">
      <c r="A128" s="2" t="s">
        <v>212</v>
      </c>
      <c r="B128" s="3" t="s">
        <v>213</v>
      </c>
      <c r="C128" s="1"/>
      <c r="D128" s="1" t="str">
        <f t="array" ref="D128">XLOOKUP(B128,CONFIG!A:A,CONFIG!B:B)</f>
        <v>ALIMENTOS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ht="15.75" customHeight="1">
      <c r="A129" s="2" t="s">
        <v>214</v>
      </c>
      <c r="B129" s="3" t="s">
        <v>210</v>
      </c>
      <c r="C129" s="1" t="s">
        <v>211</v>
      </c>
      <c r="D129" s="1" t="str">
        <f t="array" ref="D129">XLOOKUP(B129,CONFIG!A:A,CONFIG!B:B)</f>
        <v>ALIMENTOS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ht="15.75" customHeight="1">
      <c r="A130" s="2" t="s">
        <v>215</v>
      </c>
      <c r="B130" s="3" t="s">
        <v>216</v>
      </c>
      <c r="C130" s="1"/>
      <c r="D130" s="1" t="str">
        <f t="array" ref="D130">XLOOKUP(B130,CONFIG!A:A,CONFIG!B:B)</f>
        <v>BEBIDAS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ht="15.75" customHeight="1">
      <c r="A131" s="2" t="s">
        <v>217</v>
      </c>
      <c r="B131" s="3" t="s">
        <v>216</v>
      </c>
      <c r="C131" s="1"/>
      <c r="D131" s="1" t="str">
        <f t="array" ref="D131">XLOOKUP(B131,CONFIG!A:A,CONFIG!B:B)</f>
        <v>BEBIDAS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ht="15.75" customHeight="1">
      <c r="A132" s="2" t="s">
        <v>218</v>
      </c>
      <c r="B132" s="3" t="s">
        <v>219</v>
      </c>
      <c r="C132" s="1"/>
      <c r="D132" s="1" t="str">
        <f t="array" ref="D132">XLOOKUP(B132,CONFIG!A:A,CONFIG!B:B)</f>
        <v>ALIMENTOS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ht="15.75" customHeight="1">
      <c r="A133" s="2" t="s">
        <v>220</v>
      </c>
      <c r="B133" s="3" t="s">
        <v>221</v>
      </c>
      <c r="C133" s="1"/>
      <c r="D133" s="1" t="str">
        <f t="array" ref="D133">XLOOKUP(B133,CONFIG!A:A,CONFIG!B:B)</f>
        <v>ALIMENTOS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ht="15.75" customHeight="1">
      <c r="A134" s="2" t="s">
        <v>222</v>
      </c>
      <c r="B134" s="3" t="s">
        <v>221</v>
      </c>
      <c r="C134" s="1"/>
      <c r="D134" s="1" t="str">
        <f t="array" ref="D134">XLOOKUP(B134,CONFIG!A:A,CONFIG!B:B)</f>
        <v>ALIMENTOS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ht="15.75" customHeight="1">
      <c r="A135" s="2" t="s">
        <v>223</v>
      </c>
      <c r="B135" s="3" t="s">
        <v>224</v>
      </c>
      <c r="C135" s="1" t="s">
        <v>195</v>
      </c>
      <c r="D135" s="1" t="str">
        <f t="array" ref="D135">XLOOKUP(B135,CONFIG!A:A,CONFIG!B:B)</f>
        <v>ALIMENTOS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ht="15.75" customHeight="1">
      <c r="A136" s="2" t="s">
        <v>225</v>
      </c>
      <c r="B136" s="3" t="s">
        <v>221</v>
      </c>
      <c r="C136" s="1" t="s">
        <v>226</v>
      </c>
      <c r="D136" s="1" t="str">
        <f t="array" ref="D136">XLOOKUP(B136,CONFIG!A:A,CONFIG!B:B)</f>
        <v>ALIMENTOS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ht="15.75" customHeight="1">
      <c r="A137" s="2" t="s">
        <v>227</v>
      </c>
      <c r="B137" s="3" t="s">
        <v>221</v>
      </c>
      <c r="C137" s="1" t="s">
        <v>226</v>
      </c>
      <c r="D137" s="1" t="str">
        <f t="array" ref="D137">XLOOKUP(B137,CONFIG!A:A,CONFIG!B:B)</f>
        <v>ALIMENTOS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ht="15.75" customHeight="1">
      <c r="A138" s="2" t="s">
        <v>228</v>
      </c>
      <c r="B138" s="3" t="s">
        <v>229</v>
      </c>
      <c r="C138" s="1" t="s">
        <v>230</v>
      </c>
      <c r="D138" s="1" t="str">
        <f t="array" ref="D138">XLOOKUP(B138,CONFIG!A:A,CONFIG!B:B)</f>
        <v>ALIMENTOS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ht="15.75" customHeight="1">
      <c r="A139" s="2" t="s">
        <v>231</v>
      </c>
      <c r="B139" s="3" t="s">
        <v>232</v>
      </c>
      <c r="C139" s="1" t="s">
        <v>233</v>
      </c>
      <c r="D139" s="1" t="str">
        <f t="array" ref="D139">XLOOKUP(B139,CONFIG!A:A,CONFIG!B:B)</f>
        <v>ALIMENTOS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ht="15.75" customHeight="1">
      <c r="A140" s="2" t="s">
        <v>234</v>
      </c>
      <c r="B140" s="3" t="s">
        <v>235</v>
      </c>
      <c r="C140" s="1"/>
      <c r="D140" s="1" t="str">
        <f t="array" ref="D140">XLOOKUP(B140,CONFIG!A:A,CONFIG!B:B)</f>
        <v>ALIMENTOS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ht="15.75" customHeight="1">
      <c r="A141" s="2" t="s">
        <v>236</v>
      </c>
      <c r="B141" s="3" t="s">
        <v>235</v>
      </c>
      <c r="C141" s="1"/>
      <c r="D141" s="1" t="str">
        <f t="array" ref="D141">XLOOKUP(B141,CONFIG!A:A,CONFIG!B:B)</f>
        <v>ALIMENTOS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ht="15.75" customHeight="1">
      <c r="A142" s="2" t="s">
        <v>237</v>
      </c>
      <c r="B142" s="3" t="s">
        <v>238</v>
      </c>
      <c r="C142" s="1"/>
      <c r="D142" s="1" t="str">
        <f t="array" ref="D142">XLOOKUP(B142,CONFIG!A:A,CONFIG!B:B)</f>
        <v>ALIMENTOS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ht="15.75" customHeight="1">
      <c r="A143" s="2" t="s">
        <v>239</v>
      </c>
      <c r="B143" s="3" t="s">
        <v>240</v>
      </c>
      <c r="C143" s="1"/>
      <c r="D143" s="1" t="str">
        <f t="array" ref="D143">XLOOKUP(B143,CONFIG!A:A,CONFIG!B:B)</f>
        <v>ALIMENTOS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ht="15.75" customHeight="1">
      <c r="A144" s="2" t="s">
        <v>241</v>
      </c>
      <c r="B144" s="3" t="s">
        <v>240</v>
      </c>
      <c r="C144" s="1"/>
      <c r="D144" s="1" t="str">
        <f t="array" ref="D144">XLOOKUP(B144,CONFIG!A:A,CONFIG!B:B)</f>
        <v>ALIMENTOS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ht="15.75" customHeight="1">
      <c r="A145" s="2" t="s">
        <v>242</v>
      </c>
      <c r="B145" s="3" t="s">
        <v>243</v>
      </c>
      <c r="C145" s="1"/>
      <c r="D145" s="1" t="str">
        <f t="array" ref="D145">XLOOKUP(B145,CONFIG!A:A,CONFIG!B:B)</f>
        <v>ALIMENTOS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ht="15.75" customHeight="1">
      <c r="A146" s="2" t="s">
        <v>244</v>
      </c>
      <c r="B146" s="3" t="s">
        <v>245</v>
      </c>
      <c r="C146" s="1"/>
      <c r="D146" s="1" t="str">
        <f t="array" ref="D146">XLOOKUP(B146,CONFIG!A:A,CONFIG!B:B)</f>
        <v>ALIMENTOS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ht="15.75" customHeight="1">
      <c r="A147" s="2" t="s">
        <v>246</v>
      </c>
      <c r="B147" s="3" t="s">
        <v>235</v>
      </c>
      <c r="C147" s="1" t="s">
        <v>247</v>
      </c>
      <c r="D147" s="1" t="str">
        <f t="array" ref="D147">XLOOKUP(B147,CONFIG!A:A,CONFIG!B:B)</f>
        <v>ALIMENTOS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ht="15.75" customHeight="1">
      <c r="A148" s="2" t="s">
        <v>248</v>
      </c>
      <c r="B148" s="3" t="s">
        <v>249</v>
      </c>
      <c r="C148" s="1" t="s">
        <v>247</v>
      </c>
      <c r="D148" s="1" t="str">
        <f t="array" ref="D148">XLOOKUP(B148,CONFIG!A:A,CONFIG!B:B)</f>
        <v>ALIMENTOS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ht="15.75" customHeight="1">
      <c r="A149" s="2" t="s">
        <v>250</v>
      </c>
      <c r="B149" s="3" t="s">
        <v>251</v>
      </c>
      <c r="C149" s="1"/>
      <c r="D149" s="1" t="str">
        <f t="array" ref="D149">XLOOKUP(B149,CONFIG!A:A,CONFIG!B:B)</f>
        <v>ALIMENTOS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ht="15.75" customHeight="1">
      <c r="A150" s="2" t="s">
        <v>252</v>
      </c>
      <c r="B150" s="3" t="s">
        <v>253</v>
      </c>
      <c r="C150" s="1" t="s">
        <v>254</v>
      </c>
      <c r="D150" s="1" t="str">
        <f t="array" ref="D150">XLOOKUP(B150,CONFIG!A:A,CONFIG!B:B)</f>
        <v>ALIMENTOS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ht="15.75" customHeight="1">
      <c r="A151" s="2" t="s">
        <v>255</v>
      </c>
      <c r="B151" s="3" t="s">
        <v>256</v>
      </c>
      <c r="C151" s="1"/>
      <c r="D151" s="1" t="str">
        <f t="array" ref="D151">XLOOKUP(B151,CONFIG!A:A,CONFIG!B:B)</f>
        <v>ALIMENTOS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ht="15.75" customHeight="1">
      <c r="A152" s="2" t="s">
        <v>257</v>
      </c>
      <c r="B152" s="3" t="s">
        <v>258</v>
      </c>
      <c r="C152" s="1"/>
      <c r="D152" s="1" t="str">
        <f t="array" ref="D152">XLOOKUP(B152,CONFIG!A:A,CONFIG!B:B)</f>
        <v>ALIMENTOS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ht="15.75" customHeight="1">
      <c r="A153" s="2" t="s">
        <v>259</v>
      </c>
      <c r="B153" s="3" t="s">
        <v>258</v>
      </c>
      <c r="C153" s="1"/>
      <c r="D153" s="1" t="str">
        <f t="array" ref="D153">XLOOKUP(B153,CONFIG!A:A,CONFIG!B:B)</f>
        <v>ALIMENTOS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ht="15.75" customHeight="1">
      <c r="A154" s="2" t="s">
        <v>260</v>
      </c>
      <c r="B154" s="3" t="s">
        <v>258</v>
      </c>
      <c r="C154" s="1"/>
      <c r="D154" s="1" t="str">
        <f t="array" ref="D154">XLOOKUP(B154,CONFIG!A:A,CONFIG!B:B)</f>
        <v>ALIMENTOS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ht="15.75" customHeight="1">
      <c r="A155" s="2" t="s">
        <v>261</v>
      </c>
      <c r="B155" s="3" t="s">
        <v>258</v>
      </c>
      <c r="C155" s="1" t="s">
        <v>53</v>
      </c>
      <c r="D155" s="1" t="str">
        <f t="array" ref="D155">XLOOKUP(B155,CONFIG!A:A,CONFIG!B:B)</f>
        <v>ALIMENTOS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ht="15.75" customHeight="1">
      <c r="A156" s="2" t="s">
        <v>262</v>
      </c>
      <c r="B156" s="3" t="s">
        <v>263</v>
      </c>
      <c r="C156" s="1"/>
      <c r="D156" s="1" t="str">
        <f t="array" ref="D156">XLOOKUP(B156,CONFIG!A:A,CONFIG!B:B)</f>
        <v>ALIMENTOS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ht="15.75" customHeight="1">
      <c r="A157" s="2" t="s">
        <v>264</v>
      </c>
      <c r="B157" s="3" t="s">
        <v>265</v>
      </c>
      <c r="C157" s="1" t="s">
        <v>53</v>
      </c>
      <c r="D157" s="1" t="str">
        <f t="array" ref="D157">XLOOKUP(B157,CONFIG!A:A,CONFIG!B:B)</f>
        <v>ALIMENTOS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ht="15.75" customHeight="1">
      <c r="A158" s="2" t="s">
        <v>266</v>
      </c>
      <c r="B158" s="3" t="s">
        <v>265</v>
      </c>
      <c r="C158" s="1" t="s">
        <v>267</v>
      </c>
      <c r="D158" s="1" t="str">
        <f t="array" ref="D158">XLOOKUP(B158,CONFIG!A:A,CONFIG!B:B)</f>
        <v>ALIMENTOS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ht="15.75" customHeight="1">
      <c r="A159" s="2" t="s">
        <v>268</v>
      </c>
      <c r="B159" s="3" t="s">
        <v>269</v>
      </c>
      <c r="C159" s="1"/>
      <c r="D159" s="1" t="str">
        <f t="array" ref="D159">XLOOKUP(B159,CONFIG!A:A,CONFIG!B:B)</f>
        <v>ALIMENTOS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ht="15.75" customHeight="1">
      <c r="A160" s="2" t="s">
        <v>268</v>
      </c>
      <c r="B160" s="3" t="s">
        <v>269</v>
      </c>
      <c r="C160" s="1"/>
      <c r="D160" s="1" t="str">
        <f t="array" ref="D160">XLOOKUP(B160,CONFIG!A:A,CONFIG!B:B)</f>
        <v>ALIMENTOS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ht="15.75" customHeight="1">
      <c r="A161" s="2" t="s">
        <v>270</v>
      </c>
      <c r="B161" s="3" t="s">
        <v>269</v>
      </c>
      <c r="C161" s="1"/>
      <c r="D161" s="1" t="str">
        <f t="array" ref="D161">XLOOKUP(B161,CONFIG!A:A,CONFIG!B:B)</f>
        <v>ALIMENTOS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ht="15.75" customHeight="1">
      <c r="A162" s="2" t="s">
        <v>270</v>
      </c>
      <c r="B162" s="3" t="s">
        <v>269</v>
      </c>
      <c r="C162" s="1"/>
      <c r="D162" s="1" t="str">
        <f t="array" ref="D162">XLOOKUP(B162,CONFIG!A:A,CONFIG!B:B)</f>
        <v>ALIMENTOS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ht="15.75" customHeight="1">
      <c r="A163" s="2" t="s">
        <v>271</v>
      </c>
      <c r="B163" s="3" t="s">
        <v>272</v>
      </c>
      <c r="C163" s="1"/>
      <c r="D163" s="1" t="str">
        <f t="array" ref="D163">XLOOKUP(B163,CONFIG!A:A,CONFIG!B:B)</f>
        <v>ALIMENTOS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ht="15.75" customHeight="1">
      <c r="A164" s="2" t="s">
        <v>273</v>
      </c>
      <c r="B164" s="3" t="s">
        <v>272</v>
      </c>
      <c r="C164" s="1"/>
      <c r="D164" s="1" t="str">
        <f t="array" ref="D164">XLOOKUP(B164,CONFIG!A:A,CONFIG!B:B)</f>
        <v>ALIMENTOS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ht="15.75" customHeight="1">
      <c r="A165" s="2" t="s">
        <v>274</v>
      </c>
      <c r="B165" s="3" t="s">
        <v>275</v>
      </c>
      <c r="C165" s="1"/>
      <c r="D165" s="1" t="str">
        <f t="array" ref="D165">XLOOKUP(B165,CONFIG!A:A,CONFIG!B:B)</f>
        <v>CORPO E BANHO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ht="15.75" customHeight="1">
      <c r="A166" s="2" t="s">
        <v>276</v>
      </c>
      <c r="B166" s="3" t="s">
        <v>275</v>
      </c>
      <c r="C166" s="1" t="s">
        <v>277</v>
      </c>
      <c r="D166" s="1" t="str">
        <f t="array" ref="D166">XLOOKUP(B166,CONFIG!A:A,CONFIG!B:B)</f>
        <v>CORPO E BANHO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ht="15.75" customHeight="1">
      <c r="A167" s="2" t="s">
        <v>278</v>
      </c>
      <c r="B167" s="3" t="s">
        <v>275</v>
      </c>
      <c r="C167" s="1" t="s">
        <v>277</v>
      </c>
      <c r="D167" s="1" t="str">
        <f t="array" ref="D167">XLOOKUP(B167,CONFIG!A:A,CONFIG!B:B)</f>
        <v>CORPO E BANHO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ht="15.75" customHeight="1">
      <c r="A168" s="2" t="s">
        <v>279</v>
      </c>
      <c r="B168" s="3" t="s">
        <v>275</v>
      </c>
      <c r="C168" s="1" t="s">
        <v>277</v>
      </c>
      <c r="D168" s="1" t="str">
        <f t="array" ref="D168">XLOOKUP(B168,CONFIG!A:A,CONFIG!B:B)</f>
        <v>CORPO E BANHO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ht="15.75" customHeight="1">
      <c r="A169" s="2" t="s">
        <v>279</v>
      </c>
      <c r="B169" s="3" t="s">
        <v>275</v>
      </c>
      <c r="C169" s="1" t="s">
        <v>277</v>
      </c>
      <c r="D169" s="1" t="str">
        <f t="array" ref="D169">XLOOKUP(B169,CONFIG!A:A,CONFIG!B:B)</f>
        <v>CORPO E BANHO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ht="15.75" customHeight="1">
      <c r="A170" s="2" t="s">
        <v>280</v>
      </c>
      <c r="B170" s="3" t="s">
        <v>269</v>
      </c>
      <c r="C170" s="1"/>
      <c r="D170" s="1" t="str">
        <f t="array" ref="D170">XLOOKUP(B170,CONFIG!A:A,CONFIG!B:B)</f>
        <v>ALIMENTOS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ht="15.75" customHeight="1">
      <c r="A171" s="2" t="s">
        <v>280</v>
      </c>
      <c r="B171" s="3" t="s">
        <v>269</v>
      </c>
      <c r="C171" s="1"/>
      <c r="D171" s="1" t="str">
        <f t="array" ref="D171">XLOOKUP(B171,CONFIG!A:A,CONFIG!B:B)</f>
        <v>ALIMENTOS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ht="15.75" customHeight="1">
      <c r="A172" s="2" t="s">
        <v>281</v>
      </c>
      <c r="B172" s="3" t="s">
        <v>282</v>
      </c>
      <c r="C172" s="1"/>
      <c r="D172" s="1" t="str">
        <f t="array" ref="D172">XLOOKUP(B172,CONFIG!A:A,CONFIG!B:B)</f>
        <v>ALIMENTOS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ht="15.75" customHeight="1">
      <c r="A173" s="2" t="s">
        <v>283</v>
      </c>
      <c r="B173" s="3" t="s">
        <v>229</v>
      </c>
      <c r="C173" s="1"/>
      <c r="D173" s="1" t="str">
        <f t="array" ref="D173">XLOOKUP(B173,CONFIG!A:A,CONFIG!B:B)</f>
        <v>ALIMENTOS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ht="15.75" customHeight="1">
      <c r="A174" s="2" t="s">
        <v>284</v>
      </c>
      <c r="B174" s="3" t="s">
        <v>285</v>
      </c>
      <c r="C174" s="1"/>
      <c r="D174" s="1" t="str">
        <f t="array" ref="D174">XLOOKUP(B174,CONFIG!A:A,CONFIG!B:B)</f>
        <v>ALIMENTOS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ht="15.75" customHeight="1">
      <c r="A175" s="2" t="s">
        <v>286</v>
      </c>
      <c r="B175" s="3" t="s">
        <v>282</v>
      </c>
      <c r="C175" s="1" t="s">
        <v>132</v>
      </c>
      <c r="D175" s="1" t="str">
        <f t="array" ref="D175">XLOOKUP(B175,CONFIG!A:A,CONFIG!B:B)</f>
        <v>ALIMENTOS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ht="15.75" customHeight="1">
      <c r="A176" s="2" t="s">
        <v>287</v>
      </c>
      <c r="B176" s="3" t="s">
        <v>229</v>
      </c>
      <c r="C176" s="1" t="s">
        <v>288</v>
      </c>
      <c r="D176" s="1" t="str">
        <f t="array" ref="D176">XLOOKUP(B176,CONFIG!A:A,CONFIG!B:B)</f>
        <v>ALIMENTOS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ht="15.75" customHeight="1">
      <c r="A177" s="2" t="s">
        <v>289</v>
      </c>
      <c r="B177" s="3" t="s">
        <v>229</v>
      </c>
      <c r="C177" s="1" t="s">
        <v>230</v>
      </c>
      <c r="D177" s="1" t="str">
        <f t="array" ref="D177">XLOOKUP(B177,CONFIG!A:A,CONFIG!B:B)</f>
        <v>ALIMENTOS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ht="15.75" customHeight="1">
      <c r="A178" s="2" t="s">
        <v>290</v>
      </c>
      <c r="B178" s="3" t="s">
        <v>282</v>
      </c>
      <c r="C178" s="1"/>
      <c r="D178" s="1" t="str">
        <f t="array" ref="D178">XLOOKUP(B178,CONFIG!A:A,CONFIG!B:B)</f>
        <v>ALIMENTOS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ht="15.75" customHeight="1">
      <c r="A179" s="2" t="s">
        <v>291</v>
      </c>
      <c r="B179" s="3" t="s">
        <v>282</v>
      </c>
      <c r="C179" s="1"/>
      <c r="D179" s="1" t="str">
        <f t="array" ref="D179">XLOOKUP(B179,CONFIG!A:A,CONFIG!B:B)</f>
        <v>ALIMENTOS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ht="15.75" customHeight="1">
      <c r="A180" s="2" t="s">
        <v>292</v>
      </c>
      <c r="B180" s="3" t="s">
        <v>229</v>
      </c>
      <c r="C180" s="1"/>
      <c r="D180" s="1" t="str">
        <f t="array" ref="D180">XLOOKUP(B180,CONFIG!A:A,CONFIG!B:B)</f>
        <v>ALIMENTOS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ht="15.75" customHeight="1">
      <c r="A181" s="2" t="s">
        <v>293</v>
      </c>
      <c r="B181" s="3" t="s">
        <v>285</v>
      </c>
      <c r="C181" s="1"/>
      <c r="D181" s="1" t="str">
        <f t="array" ref="D181">XLOOKUP(B181,CONFIG!A:A,CONFIG!B:B)</f>
        <v>ALIMENTOS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ht="15.75" customHeight="1">
      <c r="A182" s="2" t="s">
        <v>294</v>
      </c>
      <c r="B182" s="3" t="s">
        <v>295</v>
      </c>
      <c r="C182" s="1"/>
      <c r="D182" s="1" t="str">
        <f t="array" ref="D182">XLOOKUP(B182,CONFIG!A:A,CONFIG!B:B)</f>
        <v>ALIMENTOS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ht="15.75" customHeight="1">
      <c r="A183" s="2" t="s">
        <v>296</v>
      </c>
      <c r="B183" s="3" t="s">
        <v>35</v>
      </c>
      <c r="C183" s="1"/>
      <c r="D183" s="1" t="str">
        <f t="array" ref="D183">XLOOKUP(B183,CONFIG!A:A,CONFIG!B:B)</f>
        <v>LIMPEZA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ht="15.75" customHeight="1">
      <c r="A184" s="2" t="s">
        <v>297</v>
      </c>
      <c r="B184" s="3" t="s">
        <v>298</v>
      </c>
      <c r="C184" s="1"/>
      <c r="D184" s="1" t="str">
        <f t="array" ref="D184">XLOOKUP(B184,CONFIG!A:A,CONFIG!B:B)</f>
        <v>ALIMENTOS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ht="15.75" customHeight="1">
      <c r="A185" s="2" t="s">
        <v>299</v>
      </c>
      <c r="B185" s="3" t="s">
        <v>300</v>
      </c>
      <c r="C185" s="1" t="s">
        <v>301</v>
      </c>
      <c r="D185" s="1" t="str">
        <f t="array" ref="D185">XLOOKUP(B185,CONFIG!A:A,CONFIG!B:B)</f>
        <v>CORPO E BANHO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ht="15.75" customHeight="1">
      <c r="A186" s="2" t="s">
        <v>302</v>
      </c>
      <c r="B186" s="3" t="s">
        <v>303</v>
      </c>
      <c r="C186" s="1" t="s">
        <v>304</v>
      </c>
      <c r="D186" s="1" t="str">
        <f t="array" ref="D186">XLOOKUP(B186,CONFIG!A:A,CONFIG!B:B)</f>
        <v>CORPO E BANHO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ht="15.75" customHeight="1">
      <c r="A187" s="2" t="s">
        <v>305</v>
      </c>
      <c r="B187" s="3" t="s">
        <v>305</v>
      </c>
      <c r="C187" s="1"/>
      <c r="D187" s="1" t="str">
        <f t="array" ref="D187">XLOOKUP(B187,CONFIG!A:A,CONFIG!B:B)</f>
        <v>ALIMENTOS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ht="15.75" customHeight="1">
      <c r="A188" s="2" t="s">
        <v>306</v>
      </c>
      <c r="B188" s="3" t="s">
        <v>307</v>
      </c>
      <c r="C188" s="1"/>
      <c r="D188" s="1" t="str">
        <f t="array" ref="D188">XLOOKUP(B188,CONFIG!A:A,CONFIG!B:B)</f>
        <v>LIMPEZA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ht="15.75" customHeight="1">
      <c r="A189" s="2" t="s">
        <v>308</v>
      </c>
      <c r="B189" s="3" t="s">
        <v>307</v>
      </c>
      <c r="C189" s="1"/>
      <c r="D189" s="1" t="str">
        <f t="array" ref="D189">XLOOKUP(B189,CONFIG!A:A,CONFIG!B:B)</f>
        <v>LIMPEZA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ht="15.75" customHeight="1">
      <c r="A190" s="2" t="s">
        <v>309</v>
      </c>
      <c r="B190" s="3" t="s">
        <v>307</v>
      </c>
      <c r="C190" s="1"/>
      <c r="D190" s="1" t="str">
        <f t="array" ref="D190">XLOOKUP(B190,CONFIG!A:A,CONFIG!B:B)</f>
        <v>LIMPEZA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ht="15.75" customHeight="1">
      <c r="A191" s="2" t="s">
        <v>310</v>
      </c>
      <c r="B191" s="3" t="s">
        <v>307</v>
      </c>
      <c r="C191" s="1" t="s">
        <v>311</v>
      </c>
      <c r="D191" s="1" t="str">
        <f t="array" ref="D191">XLOOKUP(B191,CONFIG!A:A,CONFIG!B:B)</f>
        <v>LIMPEZA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ht="15.75" customHeight="1">
      <c r="A192" s="2" t="s">
        <v>312</v>
      </c>
      <c r="B192" s="3" t="s">
        <v>313</v>
      </c>
      <c r="C192" s="1" t="s">
        <v>314</v>
      </c>
      <c r="D192" s="1" t="str">
        <f t="array" ref="D192">XLOOKUP(B192,CONFIG!A:A,CONFIG!B:B)</f>
        <v>ALIMENTOS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ht="15.75" customHeight="1">
      <c r="A193" s="2" t="s">
        <v>315</v>
      </c>
      <c r="B193" s="3" t="s">
        <v>313</v>
      </c>
      <c r="C193" s="1" t="s">
        <v>314</v>
      </c>
      <c r="D193" s="1" t="str">
        <f t="array" ref="D193">XLOOKUP(B193,CONFIG!A:A,CONFIG!B:B)</f>
        <v>ALIMENTOS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ht="15.75" customHeight="1">
      <c r="A194" s="2" t="s">
        <v>316</v>
      </c>
      <c r="B194" s="3" t="s">
        <v>313</v>
      </c>
      <c r="C194" s="1" t="s">
        <v>314</v>
      </c>
      <c r="D194" s="1" t="str">
        <f t="array" ref="D194">XLOOKUP(B194,CONFIG!A:A,CONFIG!B:B)</f>
        <v>ALIMENTOS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ht="15.75" customHeight="1">
      <c r="A195" s="2" t="s">
        <v>317</v>
      </c>
      <c r="B195" s="3" t="s">
        <v>313</v>
      </c>
      <c r="C195" s="1" t="s">
        <v>318</v>
      </c>
      <c r="D195" s="1" t="str">
        <f t="array" ref="D195">XLOOKUP(B195,CONFIG!A:A,CONFIG!B:B)</f>
        <v>ALIMENTOS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ht="15.75" customHeight="1">
      <c r="A196" s="2" t="s">
        <v>319</v>
      </c>
      <c r="B196" s="3" t="s">
        <v>313</v>
      </c>
      <c r="C196" s="1"/>
      <c r="D196" s="1" t="str">
        <f t="array" ref="D196">XLOOKUP(B196,CONFIG!A:A,CONFIG!B:B)</f>
        <v>ALIMENTOS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ht="15.75" customHeight="1">
      <c r="A197" s="2" t="s">
        <v>320</v>
      </c>
      <c r="B197" s="3" t="s">
        <v>313</v>
      </c>
      <c r="C197" s="1"/>
      <c r="D197" s="1" t="str">
        <f t="array" ref="D197">XLOOKUP(B197,CONFIG!A:A,CONFIG!B:B)</f>
        <v>ALIMENTOS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ht="15.75" customHeight="1">
      <c r="A198" s="2" t="s">
        <v>320</v>
      </c>
      <c r="B198" s="3" t="s">
        <v>313</v>
      </c>
      <c r="C198" s="1"/>
      <c r="D198" s="1" t="str">
        <f t="array" ref="D198">XLOOKUP(B198,CONFIG!A:A,CONFIG!B:B)</f>
        <v>ALIMENTOS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ht="15.75" customHeight="1">
      <c r="A199" s="2" t="s">
        <v>321</v>
      </c>
      <c r="B199" s="3" t="s">
        <v>322</v>
      </c>
      <c r="C199" s="1"/>
      <c r="D199" s="1" t="str">
        <f t="array" ref="D199">XLOOKUP(B199,CONFIG!A:A,CONFIG!B:B)</f>
        <v>ALIMENTOS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ht="15.75" customHeight="1">
      <c r="A200" s="2" t="s">
        <v>323</v>
      </c>
      <c r="B200" s="3" t="s">
        <v>324</v>
      </c>
      <c r="C200" s="1" t="s">
        <v>325</v>
      </c>
      <c r="D200" s="1" t="str">
        <f t="array" ref="D200">XLOOKUP(B200,CONFIG!A:A,CONFIG!B:B)</f>
        <v>ALIMENTOS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ht="15.75" customHeight="1">
      <c r="A201" s="2" t="s">
        <v>326</v>
      </c>
      <c r="B201" s="3" t="s">
        <v>324</v>
      </c>
      <c r="C201" s="1"/>
      <c r="D201" s="1" t="str">
        <f t="array" ref="D201">XLOOKUP(B201,CONFIG!A:A,CONFIG!B:B)</f>
        <v>ALIMENTOS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ht="15.75" customHeight="1">
      <c r="A202" s="2" t="s">
        <v>327</v>
      </c>
      <c r="B202" s="3" t="s">
        <v>328</v>
      </c>
      <c r="C202" s="1" t="s">
        <v>70</v>
      </c>
      <c r="D202" s="1" t="str">
        <f t="array" ref="D202">XLOOKUP(B202,CONFIG!A:A,CONFIG!B:B)</f>
        <v>ALIMENTOS</v>
      </c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ht="15.75" customHeight="1">
      <c r="A203" s="2" t="s">
        <v>329</v>
      </c>
      <c r="B203" s="3" t="s">
        <v>330</v>
      </c>
      <c r="C203" s="1" t="s">
        <v>70</v>
      </c>
      <c r="D203" s="1" t="str">
        <f t="array" ref="D203">XLOOKUP(B203,CONFIG!A:A,CONFIG!B:B)</f>
        <v>ALIMENTOS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ht="15.75" customHeight="1">
      <c r="A204" s="2" t="s">
        <v>331</v>
      </c>
      <c r="B204" s="3" t="s">
        <v>332</v>
      </c>
      <c r="C204" s="1"/>
      <c r="D204" s="1" t="str">
        <f t="array" ref="D204">XLOOKUP(B204,CONFIG!A:A,CONFIG!B:B)</f>
        <v>ALIMENTOS</v>
      </c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ht="15.75" customHeight="1">
      <c r="A205" s="2" t="s">
        <v>333</v>
      </c>
      <c r="B205" s="3" t="s">
        <v>334</v>
      </c>
      <c r="C205" s="1" t="s">
        <v>53</v>
      </c>
      <c r="D205" s="1" t="str">
        <f t="array" ref="D205">XLOOKUP(B205,CONFIG!A:A,CONFIG!B:B)</f>
        <v>ALIMENTOS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ht="15.75" customHeight="1">
      <c r="A206" s="2" t="s">
        <v>335</v>
      </c>
      <c r="B206" s="3" t="s">
        <v>334</v>
      </c>
      <c r="C206" s="1"/>
      <c r="D206" s="1" t="str">
        <f t="array" ref="D206">XLOOKUP(B206,CONFIG!A:A,CONFIG!B:B)</f>
        <v>ALIMENTOS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ht="15.75" customHeight="1">
      <c r="A207" s="2" t="s">
        <v>336</v>
      </c>
      <c r="B207" s="3" t="s">
        <v>334</v>
      </c>
      <c r="C207" s="1" t="s">
        <v>53</v>
      </c>
      <c r="D207" s="1" t="str">
        <f t="array" ref="D207">XLOOKUP(B207,CONFIG!A:A,CONFIG!B:B)</f>
        <v>ALIMENTOS</v>
      </c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ht="15.75" customHeight="1">
      <c r="A208" s="2" t="s">
        <v>337</v>
      </c>
      <c r="B208" s="3" t="s">
        <v>334</v>
      </c>
      <c r="C208" s="1"/>
      <c r="D208" s="1" t="str">
        <f t="array" ref="D208">XLOOKUP(B208,CONFIG!A:A,CONFIG!B:B)</f>
        <v>ALIMENTOS</v>
      </c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ht="15.75" customHeight="1">
      <c r="A209" s="2" t="s">
        <v>338</v>
      </c>
      <c r="B209" s="3" t="s">
        <v>339</v>
      </c>
      <c r="C209" s="1"/>
      <c r="D209" s="1" t="str">
        <f t="array" ref="D209">XLOOKUP(B209,CONFIG!A:A,CONFIG!B:B)</f>
        <v>OUTROS</v>
      </c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ht="15.75" customHeight="1">
      <c r="A210" s="2" t="s">
        <v>340</v>
      </c>
      <c r="B210" s="3" t="s">
        <v>110</v>
      </c>
      <c r="C210" s="1"/>
      <c r="D210" s="1" t="str">
        <f t="array" ref="D210">XLOOKUP(B210,CONFIG!A:A,CONFIG!B:B)</f>
        <v>ALIMENTOS</v>
      </c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ht="15.75" customHeight="1">
      <c r="A211" s="2" t="s">
        <v>341</v>
      </c>
      <c r="B211" s="3" t="s">
        <v>201</v>
      </c>
      <c r="C211" s="1"/>
      <c r="D211" s="1" t="str">
        <f t="array" ref="D211">XLOOKUP(B211,CONFIG!A:A,CONFIG!B:B)</f>
        <v>ALIMENTOS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ht="15.75" customHeight="1">
      <c r="A212" s="2" t="s">
        <v>342</v>
      </c>
      <c r="B212" s="3" t="s">
        <v>343</v>
      </c>
      <c r="C212" s="1"/>
      <c r="D212" s="1" t="str">
        <f t="array" ref="D212">XLOOKUP(B212,CONFIG!A:A,CONFIG!B:B)</f>
        <v>ALIMENTOS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ht="15.75" customHeight="1">
      <c r="A213" s="2" t="s">
        <v>344</v>
      </c>
      <c r="B213" s="3" t="s">
        <v>345</v>
      </c>
      <c r="C213" s="1" t="s">
        <v>346</v>
      </c>
      <c r="D213" s="1" t="str">
        <f t="array" ref="D213">XLOOKUP(B213,CONFIG!A:A,CONFIG!B:B)</f>
        <v>CASA E COZINHA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ht="15.75" customHeight="1">
      <c r="A214" s="2" t="s">
        <v>347</v>
      </c>
      <c r="B214" s="3" t="s">
        <v>348</v>
      </c>
      <c r="C214" s="1"/>
      <c r="D214" s="1" t="str">
        <f t="array" ref="D214">XLOOKUP(B214,CONFIG!A:A,CONFIG!B:B)</f>
        <v>ALIMENTOS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ht="15.75" customHeight="1">
      <c r="A215" s="2" t="s">
        <v>349</v>
      </c>
      <c r="B215" s="3" t="s">
        <v>350</v>
      </c>
      <c r="C215" s="1" t="s">
        <v>350</v>
      </c>
      <c r="D215" s="1" t="str">
        <f t="array" ref="D215">XLOOKUP(B215,CONFIG!A:A,CONFIG!B:B)</f>
        <v>BEBIDAS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ht="15.75" customHeight="1">
      <c r="A216" s="2" t="s">
        <v>351</v>
      </c>
      <c r="B216" s="3" t="s">
        <v>352</v>
      </c>
      <c r="C216" s="1"/>
      <c r="D216" s="1" t="str">
        <f t="array" ref="D216">XLOOKUP(B216,CONFIG!A:A,CONFIG!B:B)</f>
        <v>ALIMENTOS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ht="15.75" customHeight="1">
      <c r="A217" s="2" t="s">
        <v>353</v>
      </c>
      <c r="B217" s="3" t="s">
        <v>353</v>
      </c>
      <c r="C217" s="1"/>
      <c r="D217" s="1" t="str">
        <f t="array" ref="D217">XLOOKUP(B217,CONFIG!A:A,CONFIG!B:B)</f>
        <v>ALIMENTOS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ht="15.75" customHeight="1">
      <c r="A218" s="2" t="s">
        <v>354</v>
      </c>
      <c r="B218" s="3" t="s">
        <v>353</v>
      </c>
      <c r="C218" s="1"/>
      <c r="D218" s="1" t="str">
        <f t="array" ref="D218">XLOOKUP(B218,CONFIG!A:A,CONFIG!B:B)</f>
        <v>ALIMENTOS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ht="15.75" customHeight="1">
      <c r="A219" s="2" t="s">
        <v>355</v>
      </c>
      <c r="B219" s="3" t="s">
        <v>356</v>
      </c>
      <c r="C219" s="1"/>
      <c r="D219" s="1" t="str">
        <f t="array" ref="D219">XLOOKUP(B219,CONFIG!A:A,CONFIG!B:B)</f>
        <v>ALIMENTOS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ht="15.75" customHeight="1">
      <c r="A220" s="2" t="s">
        <v>357</v>
      </c>
      <c r="B220" s="3" t="s">
        <v>358</v>
      </c>
      <c r="C220" s="1" t="s">
        <v>359</v>
      </c>
      <c r="D220" s="1" t="str">
        <f t="array" ref="D220">XLOOKUP(B220,CONFIG!A:A,CONFIG!B:B)</f>
        <v>ALIMENTOS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ht="15.75" customHeight="1">
      <c r="A221" s="2" t="s">
        <v>360</v>
      </c>
      <c r="B221" s="3" t="s">
        <v>358</v>
      </c>
      <c r="C221" s="1" t="s">
        <v>361</v>
      </c>
      <c r="D221" s="1" t="str">
        <f t="array" ref="D221">XLOOKUP(B221,CONFIG!A:A,CONFIG!B:B)</f>
        <v>ALIMENTOS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ht="15.75" customHeight="1">
      <c r="A222" s="2" t="s">
        <v>362</v>
      </c>
      <c r="B222" s="3" t="s">
        <v>358</v>
      </c>
      <c r="C222" s="1"/>
      <c r="D222" s="1" t="str">
        <f t="array" ref="D222">XLOOKUP(B222,CONFIG!A:A,CONFIG!B:B)</f>
        <v>ALIMENTOS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ht="15.75" customHeight="1">
      <c r="A223" s="2" t="s">
        <v>363</v>
      </c>
      <c r="B223" s="3" t="s">
        <v>358</v>
      </c>
      <c r="C223" s="1" t="s">
        <v>361</v>
      </c>
      <c r="D223" s="1" t="str">
        <f t="array" ref="D223">XLOOKUP(B223,CONFIG!A:A,CONFIG!B:B)</f>
        <v>ALIMENTOS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ht="15.75" customHeight="1">
      <c r="A224" s="2" t="s">
        <v>364</v>
      </c>
      <c r="B224" s="3" t="s">
        <v>365</v>
      </c>
      <c r="C224" s="1" t="s">
        <v>366</v>
      </c>
      <c r="D224" s="1" t="str">
        <f t="array" ref="D224">XLOOKUP(B224,CONFIG!A:A,CONFIG!B:B)</f>
        <v>ALIMENTOS</v>
      </c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ht="15.75" customHeight="1">
      <c r="A225" s="2" t="s">
        <v>367</v>
      </c>
      <c r="B225" s="3" t="s">
        <v>368</v>
      </c>
      <c r="C225" s="1" t="s">
        <v>369</v>
      </c>
      <c r="D225" s="1" t="str">
        <f t="array" ref="D225">XLOOKUP(B225,CONFIG!A:A,CONFIG!B:B)</f>
        <v>BEBIDAS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ht="15.75" customHeight="1">
      <c r="A226" s="2" t="s">
        <v>370</v>
      </c>
      <c r="B226" s="3" t="s">
        <v>371</v>
      </c>
      <c r="C226" s="1" t="s">
        <v>372</v>
      </c>
      <c r="D226" s="1" t="str">
        <f t="array" ref="D226">XLOOKUP(B226,CONFIG!A:A,CONFIG!B:B)</f>
        <v>CASA E COZINHA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ht="15.75" customHeight="1">
      <c r="A227" s="2" t="s">
        <v>373</v>
      </c>
      <c r="B227" s="3" t="s">
        <v>371</v>
      </c>
      <c r="C227" s="1" t="s">
        <v>372</v>
      </c>
      <c r="D227" s="1" t="str">
        <f t="array" ref="D227">XLOOKUP(B227,CONFIG!A:A,CONFIG!B:B)</f>
        <v>CASA E COZINHA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ht="15.75" customHeight="1">
      <c r="A228" s="2" t="s">
        <v>374</v>
      </c>
      <c r="B228" s="3" t="s">
        <v>371</v>
      </c>
      <c r="C228" s="1" t="s">
        <v>375</v>
      </c>
      <c r="D228" s="1" t="str">
        <f t="array" ref="D228">XLOOKUP(B228,CONFIG!A:A,CONFIG!B:B)</f>
        <v>CASA E COZINHA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ht="15.75" customHeight="1">
      <c r="A229" s="2" t="s">
        <v>376</v>
      </c>
      <c r="B229" s="3" t="s">
        <v>371</v>
      </c>
      <c r="C229" s="1"/>
      <c r="D229" s="1" t="str">
        <f t="array" ref="D229">XLOOKUP(B229,CONFIG!A:A,CONFIG!B:B)</f>
        <v>CASA E COZINHA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ht="15.75" customHeight="1">
      <c r="A230" s="2" t="s">
        <v>377</v>
      </c>
      <c r="B230" s="3" t="s">
        <v>378</v>
      </c>
      <c r="C230" s="1"/>
      <c r="D230" s="1" t="str">
        <f t="array" ref="D230">XLOOKUP(B230,CONFIG!A:A,CONFIG!B:B)</f>
        <v>BEBIDAS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ht="15.75" customHeight="1">
      <c r="A231" s="2" t="s">
        <v>379</v>
      </c>
      <c r="B231" s="3" t="s">
        <v>378</v>
      </c>
      <c r="C231" s="1"/>
      <c r="D231" s="1" t="str">
        <f t="array" ref="D231">XLOOKUP(B231,CONFIG!A:A,CONFIG!B:B)</f>
        <v>BEBIDAS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ht="15.75" customHeight="1">
      <c r="A232" s="2" t="s">
        <v>380</v>
      </c>
      <c r="B232" s="3" t="s">
        <v>378</v>
      </c>
      <c r="C232" s="1"/>
      <c r="D232" s="1" t="str">
        <f t="array" ref="D232">XLOOKUP(B232,CONFIG!A:A,CONFIG!B:B)</f>
        <v>BEBIDAS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ht="15.75" customHeight="1">
      <c r="A233" s="2" t="s">
        <v>381</v>
      </c>
      <c r="B233" s="3" t="s">
        <v>378</v>
      </c>
      <c r="C233" s="1"/>
      <c r="D233" s="1" t="str">
        <f t="array" ref="D233">XLOOKUP(B233,CONFIG!A:A,CONFIG!B:B)</f>
        <v>BEBIDAS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ht="15.75" customHeight="1">
      <c r="A234" s="2" t="s">
        <v>382</v>
      </c>
      <c r="B234" s="3" t="s">
        <v>383</v>
      </c>
      <c r="C234" s="1"/>
      <c r="D234" s="1" t="str">
        <f t="array" ref="D234">XLOOKUP(B234,CONFIG!A:A,CONFIG!B:B)</f>
        <v>BEBIDAS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ht="15.75" customHeight="1">
      <c r="A235" s="2" t="s">
        <v>384</v>
      </c>
      <c r="B235" s="3" t="s">
        <v>378</v>
      </c>
      <c r="C235" s="1"/>
      <c r="D235" s="1" t="str">
        <f t="array" ref="D235">XLOOKUP(B235,CONFIG!A:A,CONFIG!B:B)</f>
        <v>BEBIDAS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ht="15.75" customHeight="1">
      <c r="A236" s="2" t="s">
        <v>385</v>
      </c>
      <c r="B236" s="3" t="s">
        <v>386</v>
      </c>
      <c r="C236" s="1"/>
      <c r="D236" s="1" t="str">
        <f t="array" ref="D236">XLOOKUP(B236,CONFIG!A:A,CONFIG!B:B)</f>
        <v>BEBIDAS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ht="15.75" customHeight="1">
      <c r="A237" s="2" t="s">
        <v>387</v>
      </c>
      <c r="B237" s="3" t="s">
        <v>388</v>
      </c>
      <c r="C237" s="1" t="s">
        <v>389</v>
      </c>
      <c r="D237" s="1" t="str">
        <f t="array" ref="D237">XLOOKUP(B237,CONFIG!A:A,CONFIG!B:B)</f>
        <v>BEBIDAS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ht="15.75" customHeight="1">
      <c r="A238" s="2" t="s">
        <v>390</v>
      </c>
      <c r="B238" s="3" t="s">
        <v>386</v>
      </c>
      <c r="C238" s="1" t="s">
        <v>389</v>
      </c>
      <c r="D238" s="1" t="str">
        <f t="array" ref="D238">XLOOKUP(B238,CONFIG!A:A,CONFIG!B:B)</f>
        <v>BEBIDAS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ht="15.75" customHeight="1">
      <c r="A239" s="2" t="s">
        <v>391</v>
      </c>
      <c r="B239" s="3" t="s">
        <v>383</v>
      </c>
      <c r="C239" s="1"/>
      <c r="D239" s="1" t="str">
        <f t="array" ref="D239">XLOOKUP(B239,CONFIG!A:A,CONFIG!B:B)</f>
        <v>BEBIDAS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ht="15.75" customHeight="1">
      <c r="A240" s="2" t="s">
        <v>392</v>
      </c>
      <c r="B240" s="3" t="s">
        <v>378</v>
      </c>
      <c r="C240" s="1"/>
      <c r="D240" s="1" t="str">
        <f t="array" ref="D240">XLOOKUP(B240,CONFIG!A:A,CONFIG!B:B)</f>
        <v>BEBIDAS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ht="15.75" customHeight="1">
      <c r="A241" s="2" t="s">
        <v>393</v>
      </c>
      <c r="B241" s="3" t="s">
        <v>383</v>
      </c>
      <c r="C241" s="1"/>
      <c r="D241" s="1" t="str">
        <f t="array" ref="D241">XLOOKUP(B241,CONFIG!A:A,CONFIG!B:B)</f>
        <v>BEBIDAS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ht="15.75" customHeight="1">
      <c r="A242" s="2" t="s">
        <v>394</v>
      </c>
      <c r="B242" s="3" t="s">
        <v>383</v>
      </c>
      <c r="C242" s="1"/>
      <c r="D242" s="1" t="str">
        <f t="array" ref="D242">XLOOKUP(B242,CONFIG!A:A,CONFIG!B:B)</f>
        <v>BEBIDAS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ht="15.75" customHeight="1">
      <c r="A243" s="2" t="s">
        <v>395</v>
      </c>
      <c r="B243" s="3" t="s">
        <v>383</v>
      </c>
      <c r="C243" s="1" t="s">
        <v>389</v>
      </c>
      <c r="D243" s="1" t="str">
        <f t="array" ref="D243">XLOOKUP(B243,CONFIG!A:A,CONFIG!B:B)</f>
        <v>BEBIDAS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ht="15.75" customHeight="1">
      <c r="A244" s="2" t="s">
        <v>396</v>
      </c>
      <c r="B244" s="3" t="s">
        <v>378</v>
      </c>
      <c r="C244" s="1"/>
      <c r="D244" s="1" t="str">
        <f t="array" ref="D244">XLOOKUP(B244,CONFIG!A:A,CONFIG!B:B)</f>
        <v>BEBIDAS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ht="15.75" customHeight="1">
      <c r="A245" s="2" t="s">
        <v>397</v>
      </c>
      <c r="B245" s="3" t="s">
        <v>383</v>
      </c>
      <c r="C245" s="1"/>
      <c r="D245" s="1" t="str">
        <f t="array" ref="D245">XLOOKUP(B245,CONFIG!A:A,CONFIG!B:B)</f>
        <v>BEBIDAS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ht="15.75" customHeight="1">
      <c r="A246" s="2" t="s">
        <v>398</v>
      </c>
      <c r="B246" s="3" t="s">
        <v>399</v>
      </c>
      <c r="C246" s="1"/>
      <c r="D246" s="1" t="str">
        <f t="array" ref="D246">XLOOKUP(B246,CONFIG!A:A,CONFIG!B:B)</f>
        <v>ALIMENTOS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ht="15.75" customHeight="1">
      <c r="A247" s="2" t="s">
        <v>400</v>
      </c>
      <c r="B247" s="3" t="s">
        <v>401</v>
      </c>
      <c r="C247" s="1"/>
      <c r="D247" s="1" t="str">
        <f t="array" ref="D247">XLOOKUP(B247,CONFIG!A:A,CONFIG!B:B)</f>
        <v>ALIMENTOS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ht="15.75" customHeight="1">
      <c r="A248" s="2" t="s">
        <v>402</v>
      </c>
      <c r="B248" s="3" t="s">
        <v>401</v>
      </c>
      <c r="C248" s="1"/>
      <c r="D248" s="1" t="str">
        <f t="array" ref="D248">XLOOKUP(B248,CONFIG!A:A,CONFIG!B:B)</f>
        <v>ALIMENTOS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ht="15.75" customHeight="1">
      <c r="A249" s="2" t="s">
        <v>403</v>
      </c>
      <c r="B249" s="3" t="s">
        <v>404</v>
      </c>
      <c r="C249" s="1"/>
      <c r="D249" s="1" t="str">
        <f t="array" ref="D249">XLOOKUP(B249,CONFIG!A:A,CONFIG!B:B)</f>
        <v>ALIMENTOS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ht="15.75" customHeight="1">
      <c r="A250" s="2" t="s">
        <v>405</v>
      </c>
      <c r="B250" s="3" t="s">
        <v>406</v>
      </c>
      <c r="C250" s="1"/>
      <c r="D250" s="1" t="str">
        <f t="array" ref="D250">XLOOKUP(B250,CONFIG!A:A,CONFIG!B:B)</f>
        <v>ALIMENTOS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ht="15.75" customHeight="1">
      <c r="A251" s="2" t="s">
        <v>407</v>
      </c>
      <c r="B251" s="3" t="s">
        <v>408</v>
      </c>
      <c r="C251" s="1" t="s">
        <v>409</v>
      </c>
      <c r="D251" s="1" t="str">
        <f t="array" ref="D251">XLOOKUP(B251,CONFIG!A:A,CONFIG!B:B)</f>
        <v>ALIMENTOS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ht="15.75" customHeight="1">
      <c r="A252" s="2" t="s">
        <v>410</v>
      </c>
      <c r="B252" s="3" t="s">
        <v>411</v>
      </c>
      <c r="C252" s="1" t="s">
        <v>412</v>
      </c>
      <c r="D252" s="1" t="str">
        <f t="array" ref="D252">XLOOKUP(B252,CONFIG!A:A,CONFIG!B:B)</f>
        <v>LIMPEZA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ht="15.75" customHeight="1">
      <c r="A253" s="2" t="s">
        <v>413</v>
      </c>
      <c r="B253" s="3" t="s">
        <v>411</v>
      </c>
      <c r="C253" s="1" t="s">
        <v>414</v>
      </c>
      <c r="D253" s="1" t="str">
        <f t="array" ref="D253">XLOOKUP(B253,CONFIG!A:A,CONFIG!B:B)</f>
        <v>LIMPEZA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ht="15.75" customHeight="1">
      <c r="A254" s="2" t="s">
        <v>415</v>
      </c>
      <c r="B254" s="3" t="s">
        <v>416</v>
      </c>
      <c r="C254" s="1" t="s">
        <v>414</v>
      </c>
      <c r="D254" s="1" t="str">
        <f t="array" ref="D254">XLOOKUP(B254,CONFIG!A:A,CONFIG!B:B)</f>
        <v>LIMPEZA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ht="15.75" customHeight="1">
      <c r="A255" s="2" t="s">
        <v>417</v>
      </c>
      <c r="B255" s="3" t="s">
        <v>411</v>
      </c>
      <c r="C255" s="1"/>
      <c r="D255" s="1" t="str">
        <f t="array" ref="D255">XLOOKUP(B255,CONFIG!A:A,CONFIG!B:B)</f>
        <v>LIMPEZA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ht="15.75" customHeight="1">
      <c r="A256" s="2" t="s">
        <v>417</v>
      </c>
      <c r="B256" s="3" t="s">
        <v>411</v>
      </c>
      <c r="C256" s="1"/>
      <c r="D256" s="1" t="str">
        <f t="array" ref="D256">XLOOKUP(B256,CONFIG!A:A,CONFIG!B:B)</f>
        <v>LIMPEZA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ht="15.75" customHeight="1">
      <c r="A257" s="2" t="s">
        <v>418</v>
      </c>
      <c r="B257" s="3" t="s">
        <v>419</v>
      </c>
      <c r="C257" s="1" t="s">
        <v>132</v>
      </c>
      <c r="D257" s="1" t="str">
        <f t="array" ref="D257">XLOOKUP(B257,CONFIG!A:A,CONFIG!B:B)</f>
        <v>ALIMENTOS</v>
      </c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ht="15.75" customHeight="1">
      <c r="A258" s="2" t="s">
        <v>420</v>
      </c>
      <c r="B258" s="3" t="s">
        <v>419</v>
      </c>
      <c r="C258" s="1" t="s">
        <v>132</v>
      </c>
      <c r="D258" s="1" t="str">
        <f t="array" ref="D258">XLOOKUP(B258,CONFIG!A:A,CONFIG!B:B)</f>
        <v>ALIMENTOS</v>
      </c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ht="15.75" customHeight="1">
      <c r="A259" s="2" t="s">
        <v>421</v>
      </c>
      <c r="B259" s="3" t="s">
        <v>419</v>
      </c>
      <c r="C259" s="1" t="s">
        <v>288</v>
      </c>
      <c r="D259" s="1" t="str">
        <f t="array" ref="D259">XLOOKUP(B259,CONFIG!A:A,CONFIG!B:B)</f>
        <v>ALIMENTOS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ht="15.75" customHeight="1">
      <c r="A260" s="2" t="s">
        <v>422</v>
      </c>
      <c r="B260" s="3" t="s">
        <v>423</v>
      </c>
      <c r="C260" s="1" t="s">
        <v>288</v>
      </c>
      <c r="D260" s="1" t="str">
        <f t="array" ref="D260">XLOOKUP(B260,CONFIG!A:A,CONFIG!B:B)</f>
        <v>BEBIDAS</v>
      </c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ht="15.75" customHeight="1">
      <c r="A261" s="2" t="s">
        <v>424</v>
      </c>
      <c r="B261" s="3" t="s">
        <v>425</v>
      </c>
      <c r="C261" s="1"/>
      <c r="D261" s="1" t="str">
        <f t="array" ref="D261">XLOOKUP(B261,CONFIG!A:A,CONFIG!B:B)</f>
        <v>BEBIDAS</v>
      </c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ht="15.75" customHeight="1">
      <c r="A262" s="2" t="s">
        <v>426</v>
      </c>
      <c r="B262" s="3" t="s">
        <v>423</v>
      </c>
      <c r="C262" s="1"/>
      <c r="D262" s="1" t="str">
        <f t="array" ref="D262">XLOOKUP(B262,CONFIG!A:A,CONFIG!B:B)</f>
        <v>BEBIDAS</v>
      </c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ht="15.75" customHeight="1">
      <c r="A263" s="2" t="s">
        <v>427</v>
      </c>
      <c r="B263" s="3" t="s">
        <v>425</v>
      </c>
      <c r="C263" s="1" t="s">
        <v>428</v>
      </c>
      <c r="D263" s="1" t="str">
        <f t="array" ref="D263">XLOOKUP(B263,CONFIG!A:A,CONFIG!B:B)</f>
        <v>BEBIDAS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ht="15.75" customHeight="1">
      <c r="A264" s="2" t="s">
        <v>429</v>
      </c>
      <c r="B264" s="3" t="s">
        <v>251</v>
      </c>
      <c r="C264" s="1"/>
      <c r="D264" s="1" t="str">
        <f t="array" ref="D264">XLOOKUP(B264,CONFIG!A:A,CONFIG!B:B)</f>
        <v>ALIMENTOS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ht="15.75" customHeight="1">
      <c r="A265" s="2" t="s">
        <v>430</v>
      </c>
      <c r="B265" s="3" t="s">
        <v>251</v>
      </c>
      <c r="C265" s="1"/>
      <c r="D265" s="1" t="str">
        <f t="array" ref="D265">XLOOKUP(B265,CONFIG!A:A,CONFIG!B:B)</f>
        <v>ALIMENTOS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ht="15.75" customHeight="1">
      <c r="A266" s="2" t="s">
        <v>431</v>
      </c>
      <c r="B266" s="3" t="s">
        <v>251</v>
      </c>
      <c r="C266" s="1"/>
      <c r="D266" s="1" t="str">
        <f t="array" ref="D266">XLOOKUP(B266,CONFIG!A:A,CONFIG!B:B)</f>
        <v>ALIMENTOS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ht="15.75" customHeight="1">
      <c r="A267" s="2" t="s">
        <v>432</v>
      </c>
      <c r="B267" s="3" t="s">
        <v>433</v>
      </c>
      <c r="C267" s="1"/>
      <c r="D267" s="1" t="str">
        <f t="array" ref="D267">XLOOKUP(B267,CONFIG!A:A,CONFIG!B:B)</f>
        <v>ALIMENTOS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ht="15.75" customHeight="1">
      <c r="A268" s="2" t="s">
        <v>434</v>
      </c>
      <c r="B268" s="3" t="s">
        <v>434</v>
      </c>
      <c r="C268" s="1"/>
      <c r="D268" s="1" t="str">
        <f t="array" ref="D268">XLOOKUP(B268,CONFIG!A:A,CONFIG!B:B)</f>
        <v>ALIMENTOS</v>
      </c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ht="15.75" customHeight="1">
      <c r="A269" s="2" t="s">
        <v>435</v>
      </c>
      <c r="B269" s="3" t="s">
        <v>434</v>
      </c>
      <c r="C269" s="1"/>
      <c r="D269" s="1" t="str">
        <f t="array" ref="D269">XLOOKUP(B269,CONFIG!A:A,CONFIG!B:B)</f>
        <v>ALIMENTOS</v>
      </c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ht="15.75" customHeight="1">
      <c r="A270" s="2" t="s">
        <v>436</v>
      </c>
      <c r="B270" s="3" t="s">
        <v>437</v>
      </c>
      <c r="C270" s="1" t="s">
        <v>438</v>
      </c>
      <c r="D270" s="1" t="str">
        <f t="array" ref="D270">XLOOKUP(B270,CONFIG!A:A,CONFIG!B:B)</f>
        <v>LIMPEZA</v>
      </c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ht="15.75" customHeight="1">
      <c r="A271" s="2" t="s">
        <v>439</v>
      </c>
      <c r="B271" s="3" t="s">
        <v>440</v>
      </c>
      <c r="C271" s="1" t="s">
        <v>267</v>
      </c>
      <c r="D271" s="1" t="str">
        <f t="array" ref="D271">XLOOKUP(B271,CONFIG!A:A,CONFIG!B:B)</f>
        <v>ALIMENTOS</v>
      </c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ht="15.75" customHeight="1">
      <c r="A272" s="2" t="s">
        <v>441</v>
      </c>
      <c r="B272" s="3" t="s">
        <v>440</v>
      </c>
      <c r="C272" s="1" t="s">
        <v>267</v>
      </c>
      <c r="D272" s="1" t="str">
        <f t="array" ref="D272">XLOOKUP(B272,CONFIG!A:A,CONFIG!B:B)</f>
        <v>ALIMENTOS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ht="15.75" customHeight="1">
      <c r="A273" s="2" t="s">
        <v>442</v>
      </c>
      <c r="B273" s="3" t="s">
        <v>443</v>
      </c>
      <c r="C273" s="1"/>
      <c r="D273" s="1" t="str">
        <f t="array" ref="D273">XLOOKUP(B273,CONFIG!A:A,CONFIG!B:B)</f>
        <v>ALIMENTOS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ht="15.75" customHeight="1">
      <c r="A274" s="2" t="s">
        <v>444</v>
      </c>
      <c r="B274" s="3" t="s">
        <v>443</v>
      </c>
      <c r="C274" s="1"/>
      <c r="D274" s="1" t="str">
        <f t="array" ref="D274">XLOOKUP(B274,CONFIG!A:A,CONFIG!B:B)</f>
        <v>ALIMENTOS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ht="15.75" customHeight="1">
      <c r="A275" s="2" t="s">
        <v>445</v>
      </c>
      <c r="B275" s="3" t="s">
        <v>443</v>
      </c>
      <c r="C275" s="1"/>
      <c r="D275" s="1" t="str">
        <f t="array" ref="D275">XLOOKUP(B275,CONFIG!A:A,CONFIG!B:B)</f>
        <v>ALIMENTOS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ht="15.75" customHeight="1">
      <c r="A276" s="2" t="s">
        <v>446</v>
      </c>
      <c r="B276" s="3" t="s">
        <v>443</v>
      </c>
      <c r="C276" s="1"/>
      <c r="D276" s="1" t="str">
        <f t="array" ref="D276">XLOOKUP(B276,CONFIG!A:A,CONFIG!B:B)</f>
        <v>ALIMENTOS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ht="15.75" customHeight="1">
      <c r="A277" s="2" t="s">
        <v>447</v>
      </c>
      <c r="B277" s="3" t="s">
        <v>443</v>
      </c>
      <c r="C277" s="1"/>
      <c r="D277" s="1" t="str">
        <f t="array" ref="D277">XLOOKUP(B277,CONFIG!A:A,CONFIG!B:B)</f>
        <v>ALIMENTOS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ht="15.75" customHeight="1">
      <c r="A278" s="2" t="s">
        <v>448</v>
      </c>
      <c r="B278" s="3" t="s">
        <v>440</v>
      </c>
      <c r="C278" s="1" t="s">
        <v>449</v>
      </c>
      <c r="D278" s="1" t="str">
        <f t="array" ref="D278">XLOOKUP(B278,CONFIG!A:A,CONFIG!B:B)</f>
        <v>ALIMENTOS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ht="15.75" customHeight="1">
      <c r="A279" s="2" t="s">
        <v>450</v>
      </c>
      <c r="B279" s="3" t="s">
        <v>443</v>
      </c>
      <c r="C279" s="1"/>
      <c r="D279" s="1" t="str">
        <f t="array" ref="D279">XLOOKUP(B279,CONFIG!A:A,CONFIG!B:B)</f>
        <v>ALIMENTOS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ht="15.75" customHeight="1">
      <c r="A280" s="2" t="s">
        <v>451</v>
      </c>
      <c r="B280" s="3" t="s">
        <v>452</v>
      </c>
      <c r="C280" s="1" t="s">
        <v>453</v>
      </c>
      <c r="D280" s="1" t="str">
        <f t="array" ref="D280">XLOOKUP(B280,CONFIG!A:A,CONFIG!B:B)</f>
        <v>CORPO E BANHO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ht="15.75" customHeight="1">
      <c r="A281" s="2" t="s">
        <v>454</v>
      </c>
      <c r="B281" s="3" t="s">
        <v>437</v>
      </c>
      <c r="C281" s="1" t="s">
        <v>438</v>
      </c>
      <c r="D281" s="1" t="str">
        <f t="array" ref="D281">XLOOKUP(B281,CONFIG!A:A,CONFIG!B:B)</f>
        <v>LIMPEZA</v>
      </c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ht="15.75" customHeight="1">
      <c r="A282" s="2" t="s">
        <v>455</v>
      </c>
      <c r="B282" s="3" t="s">
        <v>456</v>
      </c>
      <c r="C282" s="1"/>
      <c r="D282" s="1" t="str">
        <f t="array" ref="D282">XLOOKUP(B282,CONFIG!A:A,CONFIG!B:B)</f>
        <v>BEBIDAS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ht="15.75" customHeight="1">
      <c r="A283" s="2" t="s">
        <v>457</v>
      </c>
      <c r="B283" s="3" t="s">
        <v>458</v>
      </c>
      <c r="C283" s="1"/>
      <c r="D283" s="1" t="str">
        <f t="array" ref="D283">XLOOKUP(B283,CONFIG!A:A,CONFIG!B:B)</f>
        <v>BEBIDAS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ht="15.75" customHeight="1">
      <c r="A284" s="2" t="s">
        <v>459</v>
      </c>
      <c r="B284" s="3" t="s">
        <v>419</v>
      </c>
      <c r="C284" s="1" t="s">
        <v>132</v>
      </c>
      <c r="D284" s="1" t="str">
        <f t="array" ref="D284">XLOOKUP(B284,CONFIG!A:A,CONFIG!B:B)</f>
        <v>ALIMENTOS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ht="15.75" customHeight="1">
      <c r="A285" s="2" t="s">
        <v>460</v>
      </c>
      <c r="B285" s="3" t="s">
        <v>423</v>
      </c>
      <c r="C285" s="1" t="s">
        <v>288</v>
      </c>
      <c r="D285" s="1" t="str">
        <f t="array" ref="D285">XLOOKUP(B285,CONFIG!A:A,CONFIG!B:B)</f>
        <v>BEBIDAS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ht="15.75" customHeight="1">
      <c r="A286" s="2" t="s">
        <v>461</v>
      </c>
      <c r="B286" s="3" t="s">
        <v>462</v>
      </c>
      <c r="C286" s="1"/>
      <c r="D286" s="1" t="str">
        <f t="array" ref="D286">XLOOKUP(B286,CONFIG!A:A,CONFIG!B:B)</f>
        <v>ALIMENTOS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ht="15.75" customHeight="1">
      <c r="A287" s="2" t="s">
        <v>463</v>
      </c>
      <c r="B287" s="3" t="s">
        <v>464</v>
      </c>
      <c r="C287" s="1" t="s">
        <v>465</v>
      </c>
      <c r="D287" s="1" t="str">
        <f t="array" ref="D287">XLOOKUP(B287,CONFIG!A:A,CONFIG!B:B)</f>
        <v>ALIMENTOS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ht="15.75" customHeight="1">
      <c r="A288" s="2" t="s">
        <v>466</v>
      </c>
      <c r="B288" s="3" t="s">
        <v>467</v>
      </c>
      <c r="C288" s="1" t="s">
        <v>465</v>
      </c>
      <c r="D288" s="1" t="str">
        <f t="array" ref="D288">XLOOKUP(B288,CONFIG!A:A,CONFIG!B:B)</f>
        <v>ALIMENTOS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ht="15.75" customHeight="1">
      <c r="A289" s="2" t="s">
        <v>468</v>
      </c>
      <c r="B289" s="3" t="s">
        <v>462</v>
      </c>
      <c r="C289" s="1"/>
      <c r="D289" s="1" t="str">
        <f t="array" ref="D289">XLOOKUP(B289,CONFIG!A:A,CONFIG!B:B)</f>
        <v>ALIMENTOS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ht="15.75" customHeight="1">
      <c r="A290" s="2" t="s">
        <v>469</v>
      </c>
      <c r="B290" s="3" t="s">
        <v>470</v>
      </c>
      <c r="C290" s="1"/>
      <c r="D290" s="1" t="str">
        <f t="array" ref="D290">XLOOKUP(B290,CONFIG!A:A,CONFIG!B:B)</f>
        <v>ALIMENTOS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ht="15.75" customHeight="1">
      <c r="A291" s="2" t="s">
        <v>471</v>
      </c>
      <c r="B291" s="3" t="s">
        <v>472</v>
      </c>
      <c r="C291" s="1"/>
      <c r="D291" s="1" t="str">
        <f t="array" ref="D291">XLOOKUP(B291,CONFIG!A:A,CONFIG!B:B)</f>
        <v>ALIMENTOS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ht="15.75" customHeight="1">
      <c r="A292" s="2" t="s">
        <v>473</v>
      </c>
      <c r="B292" s="3" t="s">
        <v>462</v>
      </c>
      <c r="C292" s="1"/>
      <c r="D292" s="1" t="str">
        <f t="array" ref="D292">XLOOKUP(B292,CONFIG!A:A,CONFIG!B:B)</f>
        <v>ALIMENTOS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ht="15.75" customHeight="1">
      <c r="A293" s="2" t="s">
        <v>473</v>
      </c>
      <c r="B293" s="3" t="s">
        <v>462</v>
      </c>
      <c r="C293" s="1"/>
      <c r="D293" s="1" t="str">
        <f t="array" ref="D293">XLOOKUP(B293,CONFIG!A:A,CONFIG!B:B)</f>
        <v>ALIMENTOS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ht="15.75" customHeight="1">
      <c r="A294" s="2" t="s">
        <v>473</v>
      </c>
      <c r="B294" s="3" t="s">
        <v>462</v>
      </c>
      <c r="C294" s="1"/>
      <c r="D294" s="1" t="str">
        <f t="array" ref="D294">XLOOKUP(B294,CONFIG!A:A,CONFIG!B:B)</f>
        <v>ALIMENTOS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ht="15.75" customHeight="1">
      <c r="A295" s="2" t="s">
        <v>474</v>
      </c>
      <c r="B295" s="3" t="s">
        <v>475</v>
      </c>
      <c r="C295" s="1"/>
      <c r="D295" s="1" t="str">
        <f t="array" ref="D295">XLOOKUP(B295,CONFIG!A:A,CONFIG!B:B)</f>
        <v>ALIMENTOS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ht="15.75" customHeight="1">
      <c r="A296" s="2" t="s">
        <v>476</v>
      </c>
      <c r="B296" s="3" t="s">
        <v>477</v>
      </c>
      <c r="C296" s="1" t="s">
        <v>478</v>
      </c>
      <c r="D296" s="1" t="str">
        <f t="array" ref="D296">XLOOKUP(B296,CONFIG!A:A,CONFIG!B:B)</f>
        <v>ALIMENTOS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ht="15.75" customHeight="1">
      <c r="A297" s="2" t="s">
        <v>479</v>
      </c>
      <c r="B297" s="3" t="s">
        <v>477</v>
      </c>
      <c r="C297" s="1" t="s">
        <v>478</v>
      </c>
      <c r="D297" s="1" t="str">
        <f t="array" ref="D297">XLOOKUP(B297,CONFIG!A:A,CONFIG!B:B)</f>
        <v>ALIMENTOS</v>
      </c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ht="15.75" customHeight="1">
      <c r="A298" s="2" t="s">
        <v>480</v>
      </c>
      <c r="B298" s="3" t="s">
        <v>477</v>
      </c>
      <c r="C298" s="1" t="s">
        <v>478</v>
      </c>
      <c r="D298" s="1" t="str">
        <f t="array" ref="D298">XLOOKUP(B298,CONFIG!A:A,CONFIG!B:B)</f>
        <v>ALIMENTOS</v>
      </c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ht="15.75" customHeight="1">
      <c r="A299" s="2" t="s">
        <v>481</v>
      </c>
      <c r="B299" s="3" t="s">
        <v>477</v>
      </c>
      <c r="C299" s="1" t="s">
        <v>482</v>
      </c>
      <c r="D299" s="1" t="str">
        <f t="array" ref="D299">XLOOKUP(B299,CONFIG!A:A,CONFIG!B:B)</f>
        <v>ALIMENTOS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ht="15.75" customHeight="1">
      <c r="A300" s="2" t="s">
        <v>483</v>
      </c>
      <c r="B300" s="3" t="s">
        <v>477</v>
      </c>
      <c r="C300" s="1"/>
      <c r="D300" s="1" t="str">
        <f t="array" ref="D300">XLOOKUP(B300,CONFIG!A:A,CONFIG!B:B)</f>
        <v>ALIMENTOS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ht="15.75" customHeight="1">
      <c r="A301" s="2" t="s">
        <v>484</v>
      </c>
      <c r="B301" s="3" t="s">
        <v>485</v>
      </c>
      <c r="C301" s="1"/>
      <c r="D301" s="1" t="str">
        <f t="array" ref="D301">XLOOKUP(B301,CONFIG!A:A,CONFIG!B:B)</f>
        <v>ALIMENTOS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ht="15.75" customHeight="1">
      <c r="A302" s="2" t="s">
        <v>486</v>
      </c>
      <c r="B302" s="3" t="s">
        <v>485</v>
      </c>
      <c r="C302" s="1"/>
      <c r="D302" s="1" t="str">
        <f t="array" ref="D302">XLOOKUP(B302,CONFIG!A:A,CONFIG!B:B)</f>
        <v>ALIMENTOS</v>
      </c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ht="15.75" customHeight="1">
      <c r="A303" s="2" t="s">
        <v>487</v>
      </c>
      <c r="B303" s="3" t="s">
        <v>488</v>
      </c>
      <c r="C303" s="1" t="s">
        <v>489</v>
      </c>
      <c r="D303" s="1" t="str">
        <f t="array" ref="D303">XLOOKUP(B303,CONFIG!A:A,CONFIG!B:B)</f>
        <v>ALIMENTOS</v>
      </c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ht="15.75" customHeight="1">
      <c r="A304" s="2" t="s">
        <v>490</v>
      </c>
      <c r="B304" s="3" t="s">
        <v>488</v>
      </c>
      <c r="C304" s="1"/>
      <c r="D304" s="1" t="str">
        <f t="array" ref="D304">XLOOKUP(B304,CONFIG!A:A,CONFIG!B:B)</f>
        <v>ALIMENTOS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ht="15.75" customHeight="1">
      <c r="A305" s="2" t="s">
        <v>491</v>
      </c>
      <c r="B305" s="3" t="s">
        <v>492</v>
      </c>
      <c r="C305" s="1"/>
      <c r="D305" s="1" t="str">
        <f t="array" ref="D305">XLOOKUP(B305,CONFIG!A:A,CONFIG!B:B)</f>
        <v>ALIMENTOS</v>
      </c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ht="15.75" customHeight="1">
      <c r="A306" s="2" t="s">
        <v>493</v>
      </c>
      <c r="B306" s="3" t="s">
        <v>494</v>
      </c>
      <c r="C306" s="1" t="s">
        <v>495</v>
      </c>
      <c r="D306" s="1" t="str">
        <f t="array" ref="D306">XLOOKUP(B306,CONFIG!A:A,CONFIG!B:B)</f>
        <v>ALIMENTOS</v>
      </c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ht="15.75" customHeight="1">
      <c r="A307" s="2" t="s">
        <v>496</v>
      </c>
      <c r="B307" s="3" t="s">
        <v>492</v>
      </c>
      <c r="C307" s="1" t="s">
        <v>495</v>
      </c>
      <c r="D307" s="1" t="str">
        <f t="array" ref="D307">XLOOKUP(B307,CONFIG!A:A,CONFIG!B:B)</f>
        <v>ALIMENTOS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ht="15.75" customHeight="1">
      <c r="A308" s="2" t="s">
        <v>497</v>
      </c>
      <c r="B308" s="3" t="s">
        <v>492</v>
      </c>
      <c r="C308" s="1"/>
      <c r="D308" s="1" t="str">
        <f t="array" ref="D308">XLOOKUP(B308,CONFIG!A:A,CONFIG!B:B)</f>
        <v>ALIMENTOS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ht="15.75" customHeight="1">
      <c r="A309" s="2" t="s">
        <v>498</v>
      </c>
      <c r="B309" s="3" t="s">
        <v>494</v>
      </c>
      <c r="C309" s="1"/>
      <c r="D309" s="1" t="str">
        <f t="array" ref="D309">XLOOKUP(B309,CONFIG!A:A,CONFIG!B:B)</f>
        <v>ALIMENTOS</v>
      </c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ht="15.75" customHeight="1">
      <c r="A310" s="2" t="s">
        <v>499</v>
      </c>
      <c r="B310" s="3" t="s">
        <v>492</v>
      </c>
      <c r="C310" s="1"/>
      <c r="D310" s="1" t="str">
        <f t="array" ref="D310">XLOOKUP(B310,CONFIG!A:A,CONFIG!B:B)</f>
        <v>ALIMENTOS</v>
      </c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ht="15.75" customHeight="1">
      <c r="A311" s="2" t="s">
        <v>500</v>
      </c>
      <c r="B311" s="3" t="s">
        <v>492</v>
      </c>
      <c r="C311" s="1"/>
      <c r="D311" s="1" t="str">
        <f t="array" ref="D311">XLOOKUP(B311,CONFIG!A:A,CONFIG!B:B)</f>
        <v>ALIMENTOS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ht="15.75" customHeight="1">
      <c r="A312" s="2" t="s">
        <v>501</v>
      </c>
      <c r="B312" s="3" t="s">
        <v>502</v>
      </c>
      <c r="C312" s="1"/>
      <c r="D312" s="1" t="str">
        <f t="array" ref="D312">XLOOKUP(B312,CONFIG!A:A,CONFIG!B:B)</f>
        <v>ALIMENTOS</v>
      </c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ht="15.75" customHeight="1">
      <c r="A313" s="2" t="s">
        <v>503</v>
      </c>
      <c r="B313" s="3" t="s">
        <v>462</v>
      </c>
      <c r="C313" s="1" t="s">
        <v>504</v>
      </c>
      <c r="D313" s="1" t="str">
        <f t="array" ref="D313">XLOOKUP(B313,CONFIG!A:A,CONFIG!B:B)</f>
        <v>ALIMENTOS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ht="15.75" customHeight="1">
      <c r="A314" s="2" t="s">
        <v>503</v>
      </c>
      <c r="B314" s="3" t="s">
        <v>462</v>
      </c>
      <c r="C314" s="1" t="s">
        <v>504</v>
      </c>
      <c r="D314" s="1" t="str">
        <f t="array" ref="D314">XLOOKUP(B314,CONFIG!A:A,CONFIG!B:B)</f>
        <v>ALIMENTOS</v>
      </c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ht="15.75" customHeight="1">
      <c r="A315" s="2" t="s">
        <v>505</v>
      </c>
      <c r="B315" s="3" t="s">
        <v>505</v>
      </c>
      <c r="C315" s="1"/>
      <c r="D315" s="1" t="str">
        <f t="array" ref="D315">XLOOKUP(B315,CONFIG!A:A,CONFIG!B:B)</f>
        <v>ALIMENTOS</v>
      </c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ht="15.75" customHeight="1">
      <c r="A316" s="2" t="s">
        <v>506</v>
      </c>
      <c r="B316" s="3" t="s">
        <v>505</v>
      </c>
      <c r="C316" s="1"/>
      <c r="D316" s="1" t="str">
        <f t="array" ref="D316">XLOOKUP(B316,CONFIG!A:A,CONFIG!B:B)</f>
        <v>ALIMENTOS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ht="15.75" customHeight="1">
      <c r="A317" s="2" t="s">
        <v>507</v>
      </c>
      <c r="B317" s="3" t="s">
        <v>505</v>
      </c>
      <c r="C317" s="1"/>
      <c r="D317" s="1" t="str">
        <f t="array" ref="D317">XLOOKUP(B317,CONFIG!A:A,CONFIG!B:B)</f>
        <v>ALIMENTOS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ht="15.75" customHeight="1">
      <c r="A318" s="2" t="s">
        <v>508</v>
      </c>
      <c r="B318" s="3" t="s">
        <v>505</v>
      </c>
      <c r="C318" s="1"/>
      <c r="D318" s="1" t="str">
        <f t="array" ref="D318">XLOOKUP(B318,CONFIG!A:A,CONFIG!B:B)</f>
        <v>ALIMENTOS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ht="15.75" customHeight="1">
      <c r="A319" s="2" t="s">
        <v>509</v>
      </c>
      <c r="B319" s="3" t="s">
        <v>510</v>
      </c>
      <c r="C319" s="1"/>
      <c r="D319" s="1" t="str">
        <f t="array" ref="D319">XLOOKUP(B319,CONFIG!A:A,CONFIG!B:B)</f>
        <v>ALIMENTOS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ht="15.75" customHeight="1">
      <c r="A320" s="2" t="s">
        <v>511</v>
      </c>
      <c r="B320" s="3" t="s">
        <v>510</v>
      </c>
      <c r="C320" s="1"/>
      <c r="D320" s="1" t="str">
        <f t="array" ref="D320">XLOOKUP(B320,CONFIG!A:A,CONFIG!B:B)</f>
        <v>ALIMENTOS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ht="15.75" customHeight="1">
      <c r="A321" s="2" t="s">
        <v>512</v>
      </c>
      <c r="B321" s="3" t="s">
        <v>510</v>
      </c>
      <c r="C321" s="1"/>
      <c r="D321" s="1" t="str">
        <f t="array" ref="D321">XLOOKUP(B321,CONFIG!A:A,CONFIG!B:B)</f>
        <v>ALIMENTOS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ht="15.75" customHeight="1">
      <c r="A322" s="2" t="s">
        <v>513</v>
      </c>
      <c r="B322" s="3" t="s">
        <v>514</v>
      </c>
      <c r="C322" s="1"/>
      <c r="D322" s="1" t="str">
        <f t="array" ref="D322">XLOOKUP(B322,CONFIG!A:A,CONFIG!B:B)</f>
        <v>ALIMENTOS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ht="15.75" customHeight="1">
      <c r="A323" s="2" t="s">
        <v>515</v>
      </c>
      <c r="B323" s="3" t="s">
        <v>515</v>
      </c>
      <c r="C323" s="1"/>
      <c r="D323" s="1" t="str">
        <f t="array" ref="D323">XLOOKUP(B323,CONFIG!A:A,CONFIG!B:B)</f>
        <v>ALIMENTOS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ht="15.75" customHeight="1">
      <c r="A324" s="2" t="s">
        <v>516</v>
      </c>
      <c r="B324" s="3" t="s">
        <v>517</v>
      </c>
      <c r="C324" s="1"/>
      <c r="D324" s="1" t="str">
        <f t="array" ref="D324">XLOOKUP(B324,CONFIG!A:A,CONFIG!B:B)</f>
        <v>ALIMENTOS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ht="15.75" customHeight="1">
      <c r="A325" s="2" t="s">
        <v>518</v>
      </c>
      <c r="B325" s="3" t="s">
        <v>510</v>
      </c>
      <c r="C325" s="1"/>
      <c r="D325" s="1" t="str">
        <f t="array" ref="D325">XLOOKUP(B325,CONFIG!A:A,CONFIG!B:B)</f>
        <v>ALIMENTOS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ht="15.75" customHeight="1">
      <c r="A326" s="2" t="s">
        <v>519</v>
      </c>
      <c r="B326" s="3" t="s">
        <v>520</v>
      </c>
      <c r="C326" s="1"/>
      <c r="D326" s="1" t="str">
        <f t="array" ref="D326">XLOOKUP(B326,CONFIG!A:A,CONFIG!B:B)</f>
        <v>ALIMENTOS</v>
      </c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ht="15.75" customHeight="1">
      <c r="A327" s="2" t="s">
        <v>521</v>
      </c>
      <c r="B327" s="3" t="s">
        <v>521</v>
      </c>
      <c r="C327" s="1"/>
      <c r="D327" s="1" t="str">
        <f t="array" ref="D327">XLOOKUP(B327,CONFIG!A:A,CONFIG!B:B)</f>
        <v>ALIMENTOS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ht="15.75" customHeight="1">
      <c r="A328" s="2" t="s">
        <v>522</v>
      </c>
      <c r="B328" s="3" t="s">
        <v>521</v>
      </c>
      <c r="C328" s="1"/>
      <c r="D328" s="1" t="str">
        <f t="array" ref="D328">XLOOKUP(B328,CONFIG!A:A,CONFIG!B:B)</f>
        <v>ALIMENTOS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ht="15.75" customHeight="1">
      <c r="A329" s="2" t="s">
        <v>523</v>
      </c>
      <c r="B329" s="3" t="s">
        <v>521</v>
      </c>
      <c r="C329" s="1" t="s">
        <v>524</v>
      </c>
      <c r="D329" s="1" t="str">
        <f t="array" ref="D329">XLOOKUP(B329,CONFIG!A:A,CONFIG!B:B)</f>
        <v>ALIMENTOS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ht="15.75" customHeight="1">
      <c r="A330" s="2" t="s">
        <v>525</v>
      </c>
      <c r="B330" s="3" t="s">
        <v>521</v>
      </c>
      <c r="C330" s="1" t="s">
        <v>524</v>
      </c>
      <c r="D330" s="1" t="str">
        <f t="array" ref="D330">XLOOKUP(B330,CONFIG!A:A,CONFIG!B:B)</f>
        <v>ALIMENTOS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ht="15.75" customHeight="1">
      <c r="A331" s="2" t="s">
        <v>526</v>
      </c>
      <c r="B331" s="3" t="s">
        <v>521</v>
      </c>
      <c r="C331" s="1"/>
      <c r="D331" s="1" t="str">
        <f t="array" ref="D331">XLOOKUP(B331,CONFIG!A:A,CONFIG!B:B)</f>
        <v>ALIMENTOS</v>
      </c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ht="15.75" customHeight="1">
      <c r="A332" s="2" t="s">
        <v>527</v>
      </c>
      <c r="B332" s="3" t="s">
        <v>521</v>
      </c>
      <c r="C332" s="1" t="s">
        <v>524</v>
      </c>
      <c r="D332" s="1" t="str">
        <f t="array" ref="D332">XLOOKUP(B332,CONFIG!A:A,CONFIG!B:B)</f>
        <v>ALIMENTOS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ht="15.75" customHeight="1">
      <c r="A333" s="2" t="s">
        <v>528</v>
      </c>
      <c r="B333" s="3" t="s">
        <v>529</v>
      </c>
      <c r="C333" s="1"/>
      <c r="D333" s="1" t="str">
        <f t="array" ref="D333">XLOOKUP(B333,CONFIG!A:A,CONFIG!B:B)</f>
        <v>ALIMENTOS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ht="15.75" customHeight="1">
      <c r="A334" s="2" t="s">
        <v>530</v>
      </c>
      <c r="B334" s="3" t="s">
        <v>343</v>
      </c>
      <c r="C334" s="1"/>
      <c r="D334" s="1" t="str">
        <f t="array" ref="D334">XLOOKUP(B334,CONFIG!A:A,CONFIG!B:B)</f>
        <v>ALIMENTOS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ht="15.75" customHeight="1">
      <c r="A335" s="2" t="s">
        <v>531</v>
      </c>
      <c r="B335" s="3" t="s">
        <v>532</v>
      </c>
      <c r="C335" s="1"/>
      <c r="D335" s="1" t="str">
        <f t="array" ref="D335">XLOOKUP(B335,CONFIG!A:A,CONFIG!B:B)</f>
        <v>ALIMENTOS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ht="15.75" customHeight="1">
      <c r="A336" s="2" t="s">
        <v>533</v>
      </c>
      <c r="B336" s="3" t="s">
        <v>532</v>
      </c>
      <c r="C336" s="1"/>
      <c r="D336" s="1" t="str">
        <f t="array" ref="D336">XLOOKUP(B336,CONFIG!A:A,CONFIG!B:B)</f>
        <v>ALIMENTOS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ht="15.75" customHeight="1">
      <c r="A337" s="2" t="s">
        <v>534</v>
      </c>
      <c r="B337" s="3" t="s">
        <v>535</v>
      </c>
      <c r="C337" s="1"/>
      <c r="D337" s="1" t="str">
        <f t="array" ref="D337">XLOOKUP(B337,CONFIG!A:A,CONFIG!B:B)</f>
        <v>ALIMENTOS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ht="15.75" customHeight="1">
      <c r="A338" s="2" t="s">
        <v>536</v>
      </c>
      <c r="B338" s="3" t="s">
        <v>537</v>
      </c>
      <c r="C338" s="1" t="s">
        <v>482</v>
      </c>
      <c r="D338" s="1" t="str">
        <f t="array" ref="D338">XLOOKUP(B338,CONFIG!A:A,CONFIG!B:B)</f>
        <v>ALIMENTOS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ht="15.75" customHeight="1">
      <c r="A339" s="2" t="s">
        <v>538</v>
      </c>
      <c r="B339" s="3" t="s">
        <v>313</v>
      </c>
      <c r="C339" s="1" t="s">
        <v>524</v>
      </c>
      <c r="D339" s="1" t="str">
        <f t="array" ref="D339">XLOOKUP(B339,CONFIG!A:A,CONFIG!B:B)</f>
        <v>ALIMENTOS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ht="15.75" customHeight="1">
      <c r="A340" s="2" t="s">
        <v>539</v>
      </c>
      <c r="B340" s="3" t="s">
        <v>540</v>
      </c>
      <c r="C340" s="1"/>
      <c r="D340" s="1" t="str">
        <f t="array" ref="D340">XLOOKUP(B340,CONFIG!A:A,CONFIG!B:B)</f>
        <v>ALIMENTOS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ht="15.75" customHeight="1">
      <c r="A341" s="2" t="s">
        <v>541</v>
      </c>
      <c r="B341" s="3" t="s">
        <v>542</v>
      </c>
      <c r="C341" s="1"/>
      <c r="D341" s="1" t="str">
        <f t="array" ref="D341">XLOOKUP(B341,CONFIG!A:A,CONFIG!B:B)</f>
        <v>ALIMENTOS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ht="15.75" customHeight="1">
      <c r="A342" s="2" t="s">
        <v>543</v>
      </c>
      <c r="B342" s="3" t="s">
        <v>544</v>
      </c>
      <c r="C342" s="1"/>
      <c r="D342" s="1" t="str">
        <f t="array" ref="D342">XLOOKUP(B342,CONFIG!A:A,CONFIG!B:B)</f>
        <v>ALIMENTOS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ht="15.75" customHeight="1">
      <c r="A343" s="2" t="s">
        <v>545</v>
      </c>
      <c r="B343" s="3" t="s">
        <v>544</v>
      </c>
      <c r="C343" s="1"/>
      <c r="D343" s="1" t="str">
        <f t="array" ref="D343">XLOOKUP(B343,CONFIG!A:A,CONFIG!B:B)</f>
        <v>ALIMENTOS</v>
      </c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ht="15.75" customHeight="1">
      <c r="A344" s="2" t="s">
        <v>546</v>
      </c>
      <c r="B344" s="3" t="s">
        <v>547</v>
      </c>
      <c r="C344" s="1" t="s">
        <v>478</v>
      </c>
      <c r="D344" s="1" t="str">
        <f t="array" ref="D344">XLOOKUP(B344,CONFIG!A:A,CONFIG!B:B)</f>
        <v>ALIMENTOS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ht="15.75" customHeight="1">
      <c r="A345" s="2" t="s">
        <v>548</v>
      </c>
      <c r="B345" s="3" t="s">
        <v>549</v>
      </c>
      <c r="C345" s="1"/>
      <c r="D345" s="1" t="str">
        <f t="array" ref="D345">XLOOKUP(B345,CONFIG!A:A,CONFIG!B:B)</f>
        <v>ALIMENTOS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ht="15.75" customHeight="1">
      <c r="A346" s="2" t="s">
        <v>550</v>
      </c>
      <c r="B346" s="3" t="s">
        <v>551</v>
      </c>
      <c r="C346" s="1" t="s">
        <v>552</v>
      </c>
      <c r="D346" s="1" t="str">
        <f t="array" ref="D346">XLOOKUP(B346,CONFIG!A:A,CONFIG!B:B)</f>
        <v>ALIMENTOS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ht="15.75" customHeight="1">
      <c r="A347" s="2" t="s">
        <v>553</v>
      </c>
      <c r="B347" s="3" t="s">
        <v>368</v>
      </c>
      <c r="C347" s="1" t="s">
        <v>230</v>
      </c>
      <c r="D347" s="1" t="str">
        <f t="array" ref="D347">XLOOKUP(B347,CONFIG!A:A,CONFIG!B:B)</f>
        <v>BEBIDAS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ht="15.75" customHeight="1">
      <c r="A348" s="2" t="s">
        <v>554</v>
      </c>
      <c r="B348" s="3" t="s">
        <v>555</v>
      </c>
      <c r="C348" s="1"/>
      <c r="D348" s="1" t="str">
        <f t="array" ref="D348">XLOOKUP(B348,CONFIG!A:A,CONFIG!B:B)</f>
        <v>ALIMENTOS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ht="15.75" customHeight="1">
      <c r="A349" s="2" t="s">
        <v>556</v>
      </c>
      <c r="B349" s="3" t="s">
        <v>557</v>
      </c>
      <c r="C349" s="1" t="s">
        <v>558</v>
      </c>
      <c r="D349" s="1" t="str">
        <f t="array" ref="D349">XLOOKUP(B349,CONFIG!A:A,CONFIG!B:B)</f>
        <v>ALIMENTOS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ht="15.75" customHeight="1">
      <c r="A350" s="2" t="s">
        <v>559</v>
      </c>
      <c r="B350" s="3" t="s">
        <v>560</v>
      </c>
      <c r="C350" s="1" t="s">
        <v>561</v>
      </c>
      <c r="D350" s="1" t="str">
        <f t="array" ref="D350">XLOOKUP(B350,CONFIG!A:A,CONFIG!B:B)</f>
        <v>ALIMENTOS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ht="15.75" customHeight="1">
      <c r="A351" s="2" t="s">
        <v>562</v>
      </c>
      <c r="B351" s="3" t="s">
        <v>560</v>
      </c>
      <c r="C351" s="1"/>
      <c r="D351" s="1" t="str">
        <f t="array" ref="D351">XLOOKUP(B351,CONFIG!A:A,CONFIG!B:B)</f>
        <v>ALIMENTOS</v>
      </c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ht="15.75" customHeight="1">
      <c r="A352" s="2" t="s">
        <v>563</v>
      </c>
      <c r="B352" s="3" t="s">
        <v>564</v>
      </c>
      <c r="C352" s="1"/>
      <c r="D352" s="1" t="str">
        <f t="array" ref="D352">XLOOKUP(B352,CONFIG!A:A,CONFIG!B:B)</f>
        <v>ALIMENTOS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ht="15.75" customHeight="1">
      <c r="A353" s="2" t="s">
        <v>565</v>
      </c>
      <c r="B353" s="3" t="s">
        <v>564</v>
      </c>
      <c r="C353" s="1"/>
      <c r="D353" s="1" t="str">
        <f t="array" ref="D353">XLOOKUP(B353,CONFIG!A:A,CONFIG!B:B)</f>
        <v>ALIMENTOS</v>
      </c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ht="15.75" customHeight="1">
      <c r="A354" s="2" t="s">
        <v>566</v>
      </c>
      <c r="B354" s="3" t="s">
        <v>564</v>
      </c>
      <c r="C354" s="1"/>
      <c r="D354" s="1" t="str">
        <f t="array" ref="D354">XLOOKUP(B354,CONFIG!A:A,CONFIG!B:B)</f>
        <v>ALIMENTOS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ht="15.75" customHeight="1">
      <c r="A355" s="2" t="s">
        <v>567</v>
      </c>
      <c r="B355" s="3" t="s">
        <v>564</v>
      </c>
      <c r="C355" s="1"/>
      <c r="D355" s="1" t="str">
        <f t="array" ref="D355">XLOOKUP(B355,CONFIG!A:A,CONFIG!B:B)</f>
        <v>ALIMENTOS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ht="15.75" customHeight="1">
      <c r="A356" s="2" t="s">
        <v>568</v>
      </c>
      <c r="B356" s="3" t="s">
        <v>569</v>
      </c>
      <c r="C356" s="1"/>
      <c r="D356" s="1" t="str">
        <f t="array" ref="D356">XLOOKUP(B356,CONFIG!A:A,CONFIG!B:B)</f>
        <v>ALIMENTOS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ht="15.75" customHeight="1">
      <c r="A357" s="2" t="s">
        <v>570</v>
      </c>
      <c r="B357" s="3" t="s">
        <v>564</v>
      </c>
      <c r="C357" s="1"/>
      <c r="D357" s="1" t="str">
        <f t="array" ref="D357">XLOOKUP(B357,CONFIG!A:A,CONFIG!B:B)</f>
        <v>ALIMENTOS</v>
      </c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ht="15.75" customHeight="1">
      <c r="A358" s="2" t="s">
        <v>571</v>
      </c>
      <c r="B358" s="3" t="s">
        <v>564</v>
      </c>
      <c r="C358" s="1"/>
      <c r="D358" s="1" t="str">
        <f t="array" ref="D358">XLOOKUP(B358,CONFIG!A:A,CONFIG!B:B)</f>
        <v>ALIMENTOS</v>
      </c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ht="15.75" customHeight="1">
      <c r="A359" s="2" t="s">
        <v>571</v>
      </c>
      <c r="B359" s="3" t="s">
        <v>564</v>
      </c>
      <c r="C359" s="1"/>
      <c r="D359" s="1" t="str">
        <f t="array" ref="D359">XLOOKUP(B359,CONFIG!A:A,CONFIG!B:B)</f>
        <v>ALIMENTOS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ht="15.75" customHeight="1">
      <c r="A360" s="2" t="s">
        <v>572</v>
      </c>
      <c r="B360" s="3" t="s">
        <v>573</v>
      </c>
      <c r="C360" s="1"/>
      <c r="D360" s="1" t="str">
        <f t="array" ref="D360">XLOOKUP(B360,CONFIG!A:A,CONFIG!B:B)</f>
        <v>ALIMENTOS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ht="15.75" customHeight="1">
      <c r="A361" s="2" t="s">
        <v>574</v>
      </c>
      <c r="B361" s="3" t="s">
        <v>573</v>
      </c>
      <c r="C361" s="1"/>
      <c r="D361" s="1" t="str">
        <f t="array" ref="D361">XLOOKUP(B361,CONFIG!A:A,CONFIG!B:B)</f>
        <v>ALIMENTOS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ht="15.75" customHeight="1">
      <c r="A362" s="2" t="s">
        <v>575</v>
      </c>
      <c r="B362" s="3" t="s">
        <v>576</v>
      </c>
      <c r="C362" s="1" t="s">
        <v>577</v>
      </c>
      <c r="D362" s="1" t="str">
        <f t="array" ref="D362">XLOOKUP(B362,CONFIG!A:A,CONFIG!B:B)</f>
        <v>ALIMENTOS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ht="15.75" customHeight="1">
      <c r="A363" s="2" t="s">
        <v>578</v>
      </c>
      <c r="B363" s="3" t="s">
        <v>576</v>
      </c>
      <c r="C363" s="1" t="s">
        <v>577</v>
      </c>
      <c r="D363" s="1" t="str">
        <f t="array" ref="D363">XLOOKUP(B363,CONFIG!A:A,CONFIG!B:B)</f>
        <v>ALIMENTOS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ht="15.75" customHeight="1">
      <c r="A364" s="2" t="s">
        <v>579</v>
      </c>
      <c r="B364" s="3" t="s">
        <v>576</v>
      </c>
      <c r="C364" s="1"/>
      <c r="D364" s="1" t="str">
        <f t="array" ref="D364">XLOOKUP(B364,CONFIG!A:A,CONFIG!B:B)</f>
        <v>ALIMENTOS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ht="15.75" customHeight="1">
      <c r="A365" s="2" t="s">
        <v>580</v>
      </c>
      <c r="B365" s="3" t="s">
        <v>580</v>
      </c>
      <c r="C365" s="1"/>
      <c r="D365" s="1" t="str">
        <f t="array" ref="D365">XLOOKUP(B365,CONFIG!A:A,CONFIG!B:B)</f>
        <v>ALIMENTOS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ht="15.75" customHeight="1">
      <c r="A366" s="2" t="s">
        <v>581</v>
      </c>
      <c r="B366" s="3" t="s">
        <v>582</v>
      </c>
      <c r="C366" s="1" t="s">
        <v>583</v>
      </c>
      <c r="D366" s="1" t="str">
        <f t="array" ref="D366">XLOOKUP(B366,CONFIG!A:A,CONFIG!B:B)</f>
        <v>ALIMENTOS</v>
      </c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ht="15.75" customHeight="1">
      <c r="A367" s="2" t="s">
        <v>584</v>
      </c>
      <c r="B367" s="3" t="s">
        <v>582</v>
      </c>
      <c r="C367" s="1"/>
      <c r="D367" s="1" t="str">
        <f t="array" ref="D367">XLOOKUP(B367,CONFIG!A:A,CONFIG!B:B)</f>
        <v>ALIMENTOS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ht="15.75" customHeight="1">
      <c r="A368" s="2" t="s">
        <v>585</v>
      </c>
      <c r="B368" s="3" t="s">
        <v>585</v>
      </c>
      <c r="C368" s="1"/>
      <c r="D368" s="1" t="str">
        <f t="array" ref="D368">XLOOKUP(B368,CONFIG!A:A,CONFIG!B:B)</f>
        <v>ALIMENTOS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ht="15.75" customHeight="1">
      <c r="A369" s="2" t="s">
        <v>586</v>
      </c>
      <c r="B369" s="3" t="s">
        <v>587</v>
      </c>
      <c r="C369" s="1"/>
      <c r="D369" s="1" t="str">
        <f t="array" ref="D369">XLOOKUP(B369,CONFIG!A:A,CONFIG!B:B)</f>
        <v>ALIMENTOS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ht="15.75" customHeight="1">
      <c r="A370" s="2" t="s">
        <v>588</v>
      </c>
      <c r="B370" s="3" t="s">
        <v>587</v>
      </c>
      <c r="C370" s="1" t="s">
        <v>589</v>
      </c>
      <c r="D370" s="1" t="str">
        <f t="array" ref="D370">XLOOKUP(B370,CONFIG!A:A,CONFIG!B:B)</f>
        <v>ALIMENTOS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ht="15.75" customHeight="1">
      <c r="A371" s="2" t="s">
        <v>590</v>
      </c>
      <c r="B371" s="3" t="s">
        <v>590</v>
      </c>
      <c r="C371" s="1"/>
      <c r="D371" s="1" t="str">
        <f t="array" ref="D371">XLOOKUP(B371,CONFIG!A:A,CONFIG!B:B)</f>
        <v>ALIMENTOS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ht="15.75" customHeight="1">
      <c r="A372" s="2" t="s">
        <v>591</v>
      </c>
      <c r="B372" s="2" t="s">
        <v>590</v>
      </c>
      <c r="C372" s="1" t="s">
        <v>592</v>
      </c>
      <c r="D372" s="1" t="str">
        <f t="array" ref="D372">XLOOKUP(B372,CONFIG!A:A,CONFIG!B:B)</f>
        <v>ALIMENTOS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ht="15.75" customHeight="1">
      <c r="A373" s="2" t="s">
        <v>593</v>
      </c>
      <c r="B373" s="3" t="s">
        <v>587</v>
      </c>
      <c r="C373" s="1" t="s">
        <v>589</v>
      </c>
      <c r="D373" s="1" t="str">
        <f t="array" ref="D373">XLOOKUP(B373,CONFIG!A:A,CONFIG!B:B)</f>
        <v>ALIMENTOS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ht="15.75" customHeight="1">
      <c r="A374" s="2" t="s">
        <v>594</v>
      </c>
      <c r="B374" s="3" t="s">
        <v>587</v>
      </c>
      <c r="C374" s="1" t="s">
        <v>589</v>
      </c>
      <c r="D374" s="1" t="str">
        <f t="array" ref="D374">XLOOKUP(B374,CONFIG!A:A,CONFIG!B:B)</f>
        <v>ALIMENTOS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ht="15.75" customHeight="1">
      <c r="A375" s="2" t="s">
        <v>595</v>
      </c>
      <c r="B375" s="3" t="s">
        <v>595</v>
      </c>
      <c r="C375" s="1"/>
      <c r="D375" s="1" t="str">
        <f t="array" ref="D375">XLOOKUP(B375,CONFIG!A:A,CONFIG!B:B)</f>
        <v>ALIMENTOS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ht="15.75" customHeight="1">
      <c r="A376" s="2" t="s">
        <v>596</v>
      </c>
      <c r="B376" s="3" t="s">
        <v>587</v>
      </c>
      <c r="C376" s="1"/>
      <c r="D376" s="1" t="str">
        <f t="array" ref="D376">XLOOKUP(B376,CONFIG!A:A,CONFIG!B:B)</f>
        <v>ALIMENTOS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ht="15.75" customHeight="1">
      <c r="A377" s="2" t="s">
        <v>597</v>
      </c>
      <c r="B377" s="3" t="s">
        <v>148</v>
      </c>
      <c r="C377" s="1" t="s">
        <v>589</v>
      </c>
      <c r="D377" s="1" t="str">
        <f t="array" ref="D377">XLOOKUP(B377,CONFIG!A:A,CONFIG!B:B)</f>
        <v>ALIMENTOS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ht="15.75" customHeight="1">
      <c r="A378" s="2" t="s">
        <v>598</v>
      </c>
      <c r="B378" s="3" t="s">
        <v>148</v>
      </c>
      <c r="C378" s="1" t="s">
        <v>589</v>
      </c>
      <c r="D378" s="1" t="str">
        <f t="array" ref="D378">XLOOKUP(B378,CONFIG!A:A,CONFIG!B:B)</f>
        <v>ALIMENTOS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ht="15.75" customHeight="1">
      <c r="A379" s="2" t="s">
        <v>599</v>
      </c>
      <c r="B379" s="3" t="s">
        <v>600</v>
      </c>
      <c r="C379" s="1" t="s">
        <v>601</v>
      </c>
      <c r="D379" s="1" t="str">
        <f t="array" ref="D379">XLOOKUP(B379,CONFIG!A:A,CONFIG!B:B)</f>
        <v>CORPO E BANHO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ht="15.75" customHeight="1">
      <c r="A380" s="2" t="s">
        <v>602</v>
      </c>
      <c r="B380" s="3" t="s">
        <v>600</v>
      </c>
      <c r="C380" s="1" t="s">
        <v>601</v>
      </c>
      <c r="D380" s="1" t="str">
        <f t="array" ref="D380">XLOOKUP(B380,CONFIG!A:A,CONFIG!B:B)</f>
        <v>CORPO E BANHO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ht="15.75" customHeight="1">
      <c r="A381" s="2" t="s">
        <v>603</v>
      </c>
      <c r="B381" s="3" t="s">
        <v>600</v>
      </c>
      <c r="C381" s="1" t="s">
        <v>372</v>
      </c>
      <c r="D381" s="1" t="str">
        <f t="array" ref="D381">XLOOKUP(B381,CONFIG!A:A,CONFIG!B:B)</f>
        <v>CORPO E BANHO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ht="15.75" customHeight="1">
      <c r="A382" s="2" t="s">
        <v>604</v>
      </c>
      <c r="B382" s="3" t="s">
        <v>600</v>
      </c>
      <c r="C382" s="1" t="s">
        <v>605</v>
      </c>
      <c r="D382" s="1" t="str">
        <f t="array" ref="D382">XLOOKUP(B382,CONFIG!A:A,CONFIG!B:B)</f>
        <v>CORPO E BANHO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ht="15.75" customHeight="1">
      <c r="A383" s="2" t="s">
        <v>606</v>
      </c>
      <c r="B383" s="3" t="s">
        <v>607</v>
      </c>
      <c r="C383" s="1" t="s">
        <v>372</v>
      </c>
      <c r="D383" s="1" t="str">
        <f t="array" ref="D383">XLOOKUP(B383,CONFIG!A:A,CONFIG!B:B)</f>
        <v>CASA E COZINHA</v>
      </c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ht="15.75" customHeight="1">
      <c r="A384" s="2" t="s">
        <v>608</v>
      </c>
      <c r="B384" s="3" t="s">
        <v>607</v>
      </c>
      <c r="C384" s="1" t="s">
        <v>609</v>
      </c>
      <c r="D384" s="1" t="str">
        <f t="array" ref="D384">XLOOKUP(B384,CONFIG!A:A,CONFIG!B:B)</f>
        <v>CASA E COZINHA</v>
      </c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ht="15.75" customHeight="1">
      <c r="A385" s="2" t="s">
        <v>610</v>
      </c>
      <c r="B385" s="3" t="s">
        <v>600</v>
      </c>
      <c r="C385" s="1"/>
      <c r="D385" s="1" t="str">
        <f t="array" ref="D385">XLOOKUP(B385,CONFIG!A:A,CONFIG!B:B)</f>
        <v>CORPO E BANHO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ht="15.75" customHeight="1">
      <c r="A386" s="2" t="s">
        <v>611</v>
      </c>
      <c r="B386" s="3" t="s">
        <v>600</v>
      </c>
      <c r="C386" s="1"/>
      <c r="D386" s="1" t="str">
        <f t="array" ref="D386">XLOOKUP(B386,CONFIG!A:A,CONFIG!B:B)</f>
        <v>CORPO E BANHO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ht="15.75" customHeight="1">
      <c r="A387" s="2" t="s">
        <v>612</v>
      </c>
      <c r="B387" s="3" t="s">
        <v>613</v>
      </c>
      <c r="C387" s="1"/>
      <c r="D387" s="1" t="str">
        <f t="array" ref="D387">XLOOKUP(B387,CONFIG!A:A,CONFIG!B:B)</f>
        <v>ALIMENTOS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ht="15.75" customHeight="1">
      <c r="A388" s="2" t="s">
        <v>614</v>
      </c>
      <c r="B388" s="3" t="s">
        <v>615</v>
      </c>
      <c r="C388" s="1"/>
      <c r="D388" s="1" t="str">
        <f t="array" ref="D388">XLOOKUP(B388,CONFIG!A:A,CONFIG!B:B)</f>
        <v>ALIMENTOS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ht="15.75" customHeight="1">
      <c r="A389" s="2" t="s">
        <v>616</v>
      </c>
      <c r="B389" s="3" t="s">
        <v>613</v>
      </c>
      <c r="C389" s="1" t="s">
        <v>617</v>
      </c>
      <c r="D389" s="1" t="str">
        <f t="array" ref="D389">XLOOKUP(B389,CONFIG!A:A,CONFIG!B:B)</f>
        <v>ALIMENTOS</v>
      </c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ht="15.75" customHeight="1">
      <c r="A390" s="2" t="s">
        <v>618</v>
      </c>
      <c r="B390" s="3" t="s">
        <v>613</v>
      </c>
      <c r="C390" s="1"/>
      <c r="D390" s="1" t="str">
        <f t="array" ref="D390">XLOOKUP(B390,CONFIG!A:A,CONFIG!B:B)</f>
        <v>ALIMENTOS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ht="15.75" customHeight="1">
      <c r="A391" s="2" t="s">
        <v>619</v>
      </c>
      <c r="B391" s="3" t="s">
        <v>620</v>
      </c>
      <c r="C391" s="1" t="s">
        <v>552</v>
      </c>
      <c r="D391" s="1" t="str">
        <f t="array" ref="D391">XLOOKUP(B391,CONFIG!A:A,CONFIG!B:B)</f>
        <v>ALIMENTOS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ht="15.75" customHeight="1">
      <c r="A392" s="2" t="s">
        <v>621</v>
      </c>
      <c r="B392" s="3" t="s">
        <v>587</v>
      </c>
      <c r="C392" s="1" t="s">
        <v>589</v>
      </c>
      <c r="D392" s="1" t="str">
        <f t="array" ref="D392">XLOOKUP(B392,CONFIG!A:A,CONFIG!B:B)</f>
        <v>ALIMENTOS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ht="15.75" customHeight="1">
      <c r="A393" s="2" t="s">
        <v>622</v>
      </c>
      <c r="B393" s="3" t="s">
        <v>623</v>
      </c>
      <c r="C393" s="1" t="s">
        <v>53</v>
      </c>
      <c r="D393" s="1" t="str">
        <f t="array" ref="D393">XLOOKUP(B393,CONFIG!A:A,CONFIG!B:B)</f>
        <v>ALIMENTOS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ht="15.75" customHeight="1">
      <c r="A394" s="2" t="s">
        <v>624</v>
      </c>
      <c r="B394" s="3" t="s">
        <v>625</v>
      </c>
      <c r="C394" s="1"/>
      <c r="D394" s="1" t="str">
        <f t="array" ref="D394">XLOOKUP(B394,CONFIG!A:A,CONFIG!B:B)</f>
        <v>ALIMENTOS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ht="15.75" customHeight="1">
      <c r="A395" s="2" t="s">
        <v>626</v>
      </c>
      <c r="B395" s="3" t="s">
        <v>627</v>
      </c>
      <c r="C395" s="1"/>
      <c r="D395" s="1" t="str">
        <f t="array" ref="D395">XLOOKUP(B395,CONFIG!A:A,CONFIG!B:B)</f>
        <v>ALIMENTOS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ht="15.75" customHeight="1">
      <c r="A396" s="2" t="s">
        <v>628</v>
      </c>
      <c r="B396" s="3" t="s">
        <v>627</v>
      </c>
      <c r="C396" s="1"/>
      <c r="D396" s="1" t="str">
        <f t="array" ref="D396">XLOOKUP(B396,CONFIG!A:A,CONFIG!B:B)</f>
        <v>ALIMENTOS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ht="15.75" customHeight="1">
      <c r="A397" s="2" t="s">
        <v>629</v>
      </c>
      <c r="B397" s="3" t="s">
        <v>148</v>
      </c>
      <c r="C397" s="1" t="s">
        <v>149</v>
      </c>
      <c r="D397" s="1" t="str">
        <f t="array" ref="D397">XLOOKUP(B397,CONFIG!A:A,CONFIG!B:B)</f>
        <v>ALIMENTOS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ht="15.75" customHeight="1">
      <c r="A398" s="2" t="s">
        <v>630</v>
      </c>
      <c r="B398" s="3" t="s">
        <v>631</v>
      </c>
      <c r="C398" s="1"/>
      <c r="D398" s="1" t="str">
        <f t="array" ref="D398">XLOOKUP(B398,CONFIG!A:A,CONFIG!B:B)</f>
        <v>ALIMENTOS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ht="15.75" customHeight="1">
      <c r="A399" s="2" t="s">
        <v>632</v>
      </c>
      <c r="B399" s="3" t="s">
        <v>633</v>
      </c>
      <c r="C399" s="1"/>
      <c r="D399" s="1" t="str">
        <f t="array" ref="D399">XLOOKUP(B399,CONFIG!A:A,CONFIG!B:B)</f>
        <v>ALIMENTOS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ht="15.75" customHeight="1">
      <c r="A400" s="2" t="s">
        <v>634</v>
      </c>
      <c r="B400" s="3" t="s">
        <v>633</v>
      </c>
      <c r="C400" s="1"/>
      <c r="D400" s="1" t="str">
        <f t="array" ref="D400">XLOOKUP(B400,CONFIG!A:A,CONFIG!B:B)</f>
        <v>ALIMENTOS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ht="15.75" customHeight="1">
      <c r="A401" s="2" t="s">
        <v>635</v>
      </c>
      <c r="B401" s="3" t="s">
        <v>636</v>
      </c>
      <c r="C401" s="1"/>
      <c r="D401" s="1" t="str">
        <f t="array" ref="D401">XLOOKUP(B401,CONFIG!A:A,CONFIG!B:B)</f>
        <v>ALIMENTOS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ht="15.75" customHeight="1">
      <c r="A402" s="2" t="s">
        <v>637</v>
      </c>
      <c r="B402" s="3" t="s">
        <v>637</v>
      </c>
      <c r="C402" s="1"/>
      <c r="D402" s="1" t="str">
        <f t="array" ref="D402">XLOOKUP(B402,CONFIG!A:A,CONFIG!B:B)</f>
        <v>ALIMENTOS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ht="15.75" customHeight="1">
      <c r="A403" s="2" t="s">
        <v>638</v>
      </c>
      <c r="B403" s="3" t="s">
        <v>638</v>
      </c>
      <c r="C403" s="1"/>
      <c r="D403" s="1" t="str">
        <f t="array" ref="D403">XLOOKUP(B403,CONFIG!A:A,CONFIG!B:B)</f>
        <v>ALIMENTOS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ht="15.75" customHeight="1">
      <c r="A404" s="2" t="s">
        <v>639</v>
      </c>
      <c r="B404" s="3" t="s">
        <v>640</v>
      </c>
      <c r="C404" s="1"/>
      <c r="D404" s="1" t="str">
        <f t="array" ref="D404">XLOOKUP(B404,CONFIG!A:A,CONFIG!B:B)</f>
        <v>ALIMENTOS</v>
      </c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ht="15.75" customHeight="1">
      <c r="A405" s="2" t="s">
        <v>641</v>
      </c>
      <c r="B405" s="3" t="s">
        <v>642</v>
      </c>
      <c r="C405" s="1"/>
      <c r="D405" s="1" t="str">
        <f t="array" ref="D405">XLOOKUP(B405,CONFIG!A:A,CONFIG!B:B)</f>
        <v>ALIMENTOS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ht="15.75" customHeight="1">
      <c r="A406" s="2" t="s">
        <v>643</v>
      </c>
      <c r="B406" s="3" t="s">
        <v>600</v>
      </c>
      <c r="C406" s="1"/>
      <c r="D406" s="1" t="str">
        <f t="array" ref="D406">XLOOKUP(B406,CONFIG!A:A,CONFIG!B:B)</f>
        <v>CORPO E BANHO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ht="15.75" customHeight="1">
      <c r="A407" s="2" t="s">
        <v>644</v>
      </c>
      <c r="B407" s="3" t="s">
        <v>645</v>
      </c>
      <c r="C407" s="1"/>
      <c r="D407" s="1" t="str">
        <f t="array" ref="D407">XLOOKUP(B407,CONFIG!A:A,CONFIG!B:B)</f>
        <v>ALIMENTOS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ht="15.75" customHeight="1">
      <c r="A408" s="2" t="s">
        <v>646</v>
      </c>
      <c r="B408" s="3" t="s">
        <v>647</v>
      </c>
      <c r="C408" s="1" t="s">
        <v>195</v>
      </c>
      <c r="D408" s="1" t="str">
        <f t="array" ref="D408">XLOOKUP(B408,CONFIG!A:A,CONFIG!B:B)</f>
        <v>ALIMENTOS</v>
      </c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ht="15.75" customHeight="1">
      <c r="A409" s="2" t="s">
        <v>648</v>
      </c>
      <c r="B409" s="3" t="s">
        <v>647</v>
      </c>
      <c r="C409" s="1"/>
      <c r="D409" s="1" t="str">
        <f t="array" ref="D409">XLOOKUP(B409,CONFIG!A:A,CONFIG!B:B)</f>
        <v>ALIMENTOS</v>
      </c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ht="15.75" customHeight="1">
      <c r="A410" s="2" t="s">
        <v>649</v>
      </c>
      <c r="B410" s="3" t="s">
        <v>650</v>
      </c>
      <c r="C410" s="1" t="s">
        <v>617</v>
      </c>
      <c r="D410" s="1" t="str">
        <f t="array" ref="D410">XLOOKUP(B410,CONFIG!A:A,CONFIG!B:B)</f>
        <v>ALIMENTOS</v>
      </c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ht="15.75" customHeight="1">
      <c r="A411" s="2" t="s">
        <v>651</v>
      </c>
      <c r="B411" s="3" t="s">
        <v>652</v>
      </c>
      <c r="C411" s="1"/>
      <c r="D411" s="1" t="str">
        <f t="array" ref="D411">XLOOKUP(B411,CONFIG!A:A,CONFIG!B:B)</f>
        <v>ALIMENTOS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ht="15.75" customHeight="1">
      <c r="A412" s="2" t="s">
        <v>653</v>
      </c>
      <c r="B412" s="3" t="s">
        <v>653</v>
      </c>
      <c r="C412" s="1"/>
      <c r="D412" s="1" t="str">
        <f t="array" ref="D412">XLOOKUP(B412,CONFIG!A:A,CONFIG!B:B)</f>
        <v>ALIMENTOS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ht="15.75" customHeight="1">
      <c r="A413" s="2" t="s">
        <v>654</v>
      </c>
      <c r="B413" s="3" t="s">
        <v>655</v>
      </c>
      <c r="C413" s="1"/>
      <c r="D413" s="1" t="str">
        <f t="array" ref="D413">XLOOKUP(B413,CONFIG!A:A,CONFIG!B:B)</f>
        <v>ALIMENTOS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ht="15.75" customHeight="1">
      <c r="A414" s="2" t="s">
        <v>656</v>
      </c>
      <c r="B414" s="3" t="s">
        <v>657</v>
      </c>
      <c r="C414" s="1"/>
      <c r="D414" s="1" t="str">
        <f t="array" ref="D414">XLOOKUP(B414,CONFIG!A:A,CONFIG!B:B)</f>
        <v>ALIMENTOS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ht="15.75" customHeight="1">
      <c r="A415" s="2" t="s">
        <v>658</v>
      </c>
      <c r="B415" s="3" t="s">
        <v>659</v>
      </c>
      <c r="C415" s="1"/>
      <c r="D415" s="1" t="str">
        <f t="array" ref="D415">XLOOKUP(B415,CONFIG!A:A,CONFIG!B:B)</f>
        <v>ALIMENTOS</v>
      </c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ht="15.75" customHeight="1">
      <c r="A416" s="2" t="s">
        <v>660</v>
      </c>
      <c r="B416" s="3" t="s">
        <v>661</v>
      </c>
      <c r="C416" s="1"/>
      <c r="D416" s="1" t="str">
        <f t="array" ref="D416">XLOOKUP(B416,CONFIG!A:A,CONFIG!B:B)</f>
        <v>ALIMENTOS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ht="15.75" customHeight="1">
      <c r="A417" s="2" t="s">
        <v>662</v>
      </c>
      <c r="B417" s="3" t="s">
        <v>663</v>
      </c>
      <c r="C417" s="1" t="s">
        <v>664</v>
      </c>
      <c r="D417" s="1" t="str">
        <f t="array" ref="D417">XLOOKUP(B417,CONFIG!A:A,CONFIG!B:B)</f>
        <v>ALIMENTOS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ht="15.75" customHeight="1">
      <c r="A418" s="2" t="s">
        <v>665</v>
      </c>
      <c r="B418" s="3" t="s">
        <v>356</v>
      </c>
      <c r="C418" s="1"/>
      <c r="D418" s="1" t="str">
        <f t="array" ref="D418">XLOOKUP(B418,CONFIG!A:A,CONFIG!B:B)</f>
        <v>ALIMENTOS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ht="15.75" customHeight="1">
      <c r="A419" s="2" t="s">
        <v>666</v>
      </c>
      <c r="B419" s="3" t="s">
        <v>667</v>
      </c>
      <c r="C419" s="1"/>
      <c r="D419" s="1" t="str">
        <f t="array" ref="D419">XLOOKUP(B419,CONFIG!A:A,CONFIG!B:B)</f>
        <v>ALIMENTOS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ht="15.75" customHeight="1">
      <c r="A420" s="2" t="s">
        <v>668</v>
      </c>
      <c r="B420" s="3" t="s">
        <v>667</v>
      </c>
      <c r="C420" s="1"/>
      <c r="D420" s="1" t="str">
        <f t="array" ref="D420">XLOOKUP(B420,CONFIG!A:A,CONFIG!B:B)</f>
        <v>ALIMENTOS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ht="15.75" customHeight="1">
      <c r="A421" s="2" t="s">
        <v>669</v>
      </c>
      <c r="B421" s="3" t="s">
        <v>667</v>
      </c>
      <c r="C421" s="1"/>
      <c r="D421" s="1" t="str">
        <f t="array" ref="D421">XLOOKUP(B421,CONFIG!A:A,CONFIG!B:B)</f>
        <v>ALIMENTOS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ht="15.75" customHeight="1">
      <c r="A422" s="2" t="s">
        <v>670</v>
      </c>
      <c r="B422" s="3" t="s">
        <v>671</v>
      </c>
      <c r="C422" s="1" t="s">
        <v>672</v>
      </c>
      <c r="D422" s="1" t="str">
        <f t="array" ref="D422">XLOOKUP(B422,CONFIG!A:A,CONFIG!B:B)</f>
        <v>ALIMENTOS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ht="15.75" customHeight="1">
      <c r="A423" s="2" t="s">
        <v>673</v>
      </c>
      <c r="B423" s="3" t="s">
        <v>674</v>
      </c>
      <c r="C423" s="1"/>
      <c r="D423" s="1" t="str">
        <f t="array" ref="D423">XLOOKUP(B423,CONFIG!A:A,CONFIG!B:B)</f>
        <v>ALIMENTOS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ht="15.75" customHeight="1">
      <c r="A424" s="2" t="s">
        <v>675</v>
      </c>
      <c r="B424" s="3" t="s">
        <v>674</v>
      </c>
      <c r="C424" s="1"/>
      <c r="D424" s="1" t="str">
        <f t="array" ref="D424">XLOOKUP(B424,CONFIG!A:A,CONFIG!B:B)</f>
        <v>ALIMENTOS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ht="15.75" customHeight="1">
      <c r="A425" s="2" t="s">
        <v>676</v>
      </c>
      <c r="B425" s="3" t="s">
        <v>620</v>
      </c>
      <c r="C425" s="1"/>
      <c r="D425" s="1" t="str">
        <f t="array" ref="D425">XLOOKUP(B425,CONFIG!A:A,CONFIG!B:B)</f>
        <v>ALIMENTOS</v>
      </c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ht="15.75" customHeight="1">
      <c r="A426" s="2" t="s">
        <v>677</v>
      </c>
      <c r="B426" s="3" t="s">
        <v>678</v>
      </c>
      <c r="C426" s="1"/>
      <c r="D426" s="1" t="str">
        <f t="array" ref="D426">XLOOKUP(B426,CONFIG!A:A,CONFIG!B:B)</f>
        <v>ALIMENTOS</v>
      </c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ht="15.75" customHeight="1">
      <c r="A427" s="2" t="s">
        <v>679</v>
      </c>
      <c r="B427" s="3" t="s">
        <v>620</v>
      </c>
      <c r="C427" s="1"/>
      <c r="D427" s="1" t="str">
        <f t="array" ref="D427">XLOOKUP(B427,CONFIG!A:A,CONFIG!B:B)</f>
        <v>ALIMENTOS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ht="15.75" customHeight="1">
      <c r="A428" s="2" t="s">
        <v>680</v>
      </c>
      <c r="B428" s="3" t="s">
        <v>272</v>
      </c>
      <c r="C428" s="1"/>
      <c r="D428" s="1" t="str">
        <f t="array" ref="D428">XLOOKUP(B428,CONFIG!A:A,CONFIG!B:B)</f>
        <v>ALIMENTOS</v>
      </c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ht="15.75" customHeight="1">
      <c r="A429" s="2" t="s">
        <v>681</v>
      </c>
      <c r="B429" s="3" t="s">
        <v>682</v>
      </c>
      <c r="C429" s="1" t="s">
        <v>552</v>
      </c>
      <c r="D429" s="1" t="str">
        <f t="array" ref="D429">XLOOKUP(B429,CONFIG!A:A,CONFIG!B:B)</f>
        <v>ALIMENTOS</v>
      </c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ht="15.75" customHeight="1">
      <c r="A430" s="2" t="s">
        <v>683</v>
      </c>
      <c r="B430" s="3" t="s">
        <v>674</v>
      </c>
      <c r="C430" s="1"/>
      <c r="D430" s="1" t="str">
        <f t="array" ref="D430">XLOOKUP(B430,CONFIG!A:A,CONFIG!B:B)</f>
        <v>ALIMENTOS</v>
      </c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ht="15.75" customHeight="1">
      <c r="A431" s="2" t="s">
        <v>684</v>
      </c>
      <c r="B431" s="3" t="s">
        <v>674</v>
      </c>
      <c r="C431" s="1"/>
      <c r="D431" s="1" t="str">
        <f t="array" ref="D431">XLOOKUP(B431,CONFIG!A:A,CONFIG!B:B)</f>
        <v>ALIMENTOS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ht="15.75" customHeight="1">
      <c r="A432" s="2" t="s">
        <v>685</v>
      </c>
      <c r="B432" s="3" t="s">
        <v>620</v>
      </c>
      <c r="C432" s="1" t="s">
        <v>288</v>
      </c>
      <c r="D432" s="1" t="str">
        <f t="array" ref="D432">XLOOKUP(B432,CONFIG!A:A,CONFIG!B:B)</f>
        <v>ALIMENTOS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ht="15.75" customHeight="1">
      <c r="A433" s="2" t="s">
        <v>686</v>
      </c>
      <c r="B433" s="3" t="s">
        <v>667</v>
      </c>
      <c r="C433" s="1" t="s">
        <v>389</v>
      </c>
      <c r="D433" s="1" t="str">
        <f t="array" ref="D433">XLOOKUP(B433,CONFIG!A:A,CONFIG!B:B)</f>
        <v>ALIMENTOS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ht="15.75" customHeight="1">
      <c r="A434" s="2" t="s">
        <v>686</v>
      </c>
      <c r="B434" s="3" t="s">
        <v>667</v>
      </c>
      <c r="C434" s="1" t="s">
        <v>389</v>
      </c>
      <c r="D434" s="1" t="str">
        <f t="array" ref="D434">XLOOKUP(B434,CONFIG!A:A,CONFIG!B:B)</f>
        <v>ALIMENTOS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ht="15.75" customHeight="1">
      <c r="A435" s="2" t="s">
        <v>687</v>
      </c>
      <c r="B435" s="3" t="s">
        <v>688</v>
      </c>
      <c r="C435" s="1"/>
      <c r="D435" s="1" t="str">
        <f t="array" ref="D435">XLOOKUP(B435,CONFIG!A:A,CONFIG!B:B)</f>
        <v>ALIMENTOS</v>
      </c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ht="15.75" customHeight="1">
      <c r="A436" s="2" t="s">
        <v>689</v>
      </c>
      <c r="B436" s="3" t="s">
        <v>690</v>
      </c>
      <c r="C436" s="1" t="s">
        <v>288</v>
      </c>
      <c r="D436" s="1" t="str">
        <f t="array" ref="D436">XLOOKUP(B436,CONFIG!A:A,CONFIG!B:B)</f>
        <v>ALIMENTOS</v>
      </c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ht="15.75" customHeight="1">
      <c r="A437" s="2" t="s">
        <v>691</v>
      </c>
      <c r="B437" s="3" t="s">
        <v>690</v>
      </c>
      <c r="C437" s="1"/>
      <c r="D437" s="1" t="str">
        <f t="array" ref="D437">XLOOKUP(B437,CONFIG!A:A,CONFIG!B:B)</f>
        <v>ALIMENTOS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ht="15.75" customHeight="1">
      <c r="A438" s="2" t="s">
        <v>692</v>
      </c>
      <c r="B438" s="3" t="s">
        <v>693</v>
      </c>
      <c r="C438" s="1"/>
      <c r="D438" s="1" t="str">
        <f t="array" ref="D438">XLOOKUP(B438,CONFIG!A:A,CONFIG!B:B)</f>
        <v>ALIMENTOS</v>
      </c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ht="15.75" customHeight="1">
      <c r="A439" s="2" t="s">
        <v>694</v>
      </c>
      <c r="B439" s="3" t="s">
        <v>690</v>
      </c>
      <c r="C439" s="1" t="s">
        <v>288</v>
      </c>
      <c r="D439" s="1" t="str">
        <f t="array" ref="D439">XLOOKUP(B439,CONFIG!A:A,CONFIG!B:B)</f>
        <v>ALIMENTOS</v>
      </c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ht="15.75" customHeight="1">
      <c r="A440" s="2" t="s">
        <v>695</v>
      </c>
      <c r="B440" s="3" t="s">
        <v>690</v>
      </c>
      <c r="C440" s="1"/>
      <c r="D440" s="1" t="str">
        <f t="array" ref="D440">XLOOKUP(B440,CONFIG!A:A,CONFIG!B:B)</f>
        <v>ALIMENTOS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ht="15.75" customHeight="1">
      <c r="A441" s="2" t="s">
        <v>696</v>
      </c>
      <c r="B441" s="3" t="s">
        <v>690</v>
      </c>
      <c r="C441" s="1" t="s">
        <v>552</v>
      </c>
      <c r="D441" s="1" t="str">
        <f t="array" ref="D441">XLOOKUP(B441,CONFIG!A:A,CONFIG!B:B)</f>
        <v>ALIMENTOS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ht="15.75" customHeight="1">
      <c r="A442" s="2" t="s">
        <v>697</v>
      </c>
      <c r="B442" s="3" t="s">
        <v>690</v>
      </c>
      <c r="C442" s="1"/>
      <c r="D442" s="1" t="str">
        <f t="array" ref="D442">XLOOKUP(B442,CONFIG!A:A,CONFIG!B:B)</f>
        <v>ALIMENTOS</v>
      </c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ht="15.75" customHeight="1">
      <c r="A443" s="2" t="s">
        <v>698</v>
      </c>
      <c r="B443" s="3" t="s">
        <v>699</v>
      </c>
      <c r="C443" s="1"/>
      <c r="D443" s="1" t="str">
        <f t="array" ref="D443">XLOOKUP(B443,CONFIG!A:A,CONFIG!B:B)</f>
        <v>ALIMENTOS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ht="15.75" customHeight="1">
      <c r="A444" s="2" t="s">
        <v>700</v>
      </c>
      <c r="B444" s="3" t="s">
        <v>693</v>
      </c>
      <c r="C444" s="1" t="s">
        <v>552</v>
      </c>
      <c r="D444" s="1" t="str">
        <f t="array" ref="D444">XLOOKUP(B444,CONFIG!A:A,CONFIG!B:B)</f>
        <v>ALIMENTOS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ht="15.75" customHeight="1">
      <c r="A445" s="2" t="s">
        <v>701</v>
      </c>
      <c r="B445" s="3" t="s">
        <v>693</v>
      </c>
      <c r="C445" s="1" t="s">
        <v>552</v>
      </c>
      <c r="D445" s="1" t="str">
        <f t="array" ref="D445">XLOOKUP(B445,CONFIG!A:A,CONFIG!B:B)</f>
        <v>ALIMENTOS</v>
      </c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ht="15.75" customHeight="1">
      <c r="A446" s="2" t="s">
        <v>702</v>
      </c>
      <c r="B446" s="3" t="s">
        <v>693</v>
      </c>
      <c r="C446" s="1"/>
      <c r="D446" s="1" t="str">
        <f t="array" ref="D446">XLOOKUP(B446,CONFIG!A:A,CONFIG!B:B)</f>
        <v>ALIMENTOS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ht="15.75" customHeight="1">
      <c r="A447" s="2" t="s">
        <v>703</v>
      </c>
      <c r="B447" s="3" t="s">
        <v>704</v>
      </c>
      <c r="C447" s="1" t="s">
        <v>412</v>
      </c>
      <c r="D447" s="1" t="str">
        <f t="array" ref="D447">XLOOKUP(B447,CONFIG!A:A,CONFIG!B:B)</f>
        <v>LIMPEZA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ht="15.75" customHeight="1">
      <c r="A448" s="2" t="s">
        <v>705</v>
      </c>
      <c r="B448" s="3" t="s">
        <v>411</v>
      </c>
      <c r="C448" s="1" t="s">
        <v>412</v>
      </c>
      <c r="D448" s="1" t="str">
        <f t="array" ref="D448">XLOOKUP(B448,CONFIG!A:A,CONFIG!B:B)</f>
        <v>LIMPEZA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ht="15.75" customHeight="1">
      <c r="A449" s="2" t="s">
        <v>706</v>
      </c>
      <c r="B449" s="3" t="s">
        <v>707</v>
      </c>
      <c r="C449" s="1"/>
      <c r="D449" s="1" t="str">
        <f t="array" ref="D449">XLOOKUP(B449,CONFIG!A:A,CONFIG!B:B)</f>
        <v>CORPO E BANHO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ht="15.75" customHeight="1">
      <c r="A450" s="2" t="s">
        <v>708</v>
      </c>
      <c r="B450" s="3" t="s">
        <v>709</v>
      </c>
      <c r="C450" s="1" t="s">
        <v>710</v>
      </c>
      <c r="D450" s="1" t="str">
        <f t="array" ref="D450">XLOOKUP(B450,CONFIG!A:A,CONFIG!B:B)</f>
        <v>CORPO E BANHO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ht="15.75" customHeight="1">
      <c r="A451" s="2" t="s">
        <v>711</v>
      </c>
      <c r="B451" s="3" t="s">
        <v>709</v>
      </c>
      <c r="C451" s="1" t="s">
        <v>710</v>
      </c>
      <c r="D451" s="1" t="str">
        <f t="array" ref="D451">XLOOKUP(B451,CONFIG!A:A,CONFIG!B:B)</f>
        <v>CORPO E BANHO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ht="15.75" customHeight="1">
      <c r="A452" s="2" t="s">
        <v>712</v>
      </c>
      <c r="B452" s="3" t="s">
        <v>707</v>
      </c>
      <c r="C452" s="1"/>
      <c r="D452" s="1" t="str">
        <f t="array" ref="D452">XLOOKUP(B452,CONFIG!A:A,CONFIG!B:B)</f>
        <v>CORPO E BANHO</v>
      </c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ht="15.75" customHeight="1">
      <c r="A453" s="2" t="s">
        <v>713</v>
      </c>
      <c r="B453" s="3" t="s">
        <v>709</v>
      </c>
      <c r="C453" s="1" t="s">
        <v>710</v>
      </c>
      <c r="D453" s="1" t="str">
        <f t="array" ref="D453">XLOOKUP(B453,CONFIG!A:A,CONFIG!B:B)</f>
        <v>CORPO E BANHO</v>
      </c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ht="15.75" customHeight="1">
      <c r="A454" s="2" t="s">
        <v>714</v>
      </c>
      <c r="B454" s="3" t="s">
        <v>709</v>
      </c>
      <c r="C454" s="1" t="s">
        <v>710</v>
      </c>
      <c r="D454" s="1" t="str">
        <f t="array" ref="D454">XLOOKUP(B454,CONFIG!A:A,CONFIG!B:B)</f>
        <v>CORPO E BANHO</v>
      </c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ht="15.75" customHeight="1">
      <c r="A455" s="2" t="s">
        <v>714</v>
      </c>
      <c r="B455" s="3" t="s">
        <v>709</v>
      </c>
      <c r="C455" s="1" t="s">
        <v>710</v>
      </c>
      <c r="D455" s="1" t="str">
        <f t="array" ref="D455">XLOOKUP(B455,CONFIG!A:A,CONFIG!B:B)</f>
        <v>CORPO E BANHO</v>
      </c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ht="15.75" customHeight="1">
      <c r="A456" s="2" t="s">
        <v>715</v>
      </c>
      <c r="B456" s="3" t="s">
        <v>707</v>
      </c>
      <c r="C456" s="1" t="s">
        <v>716</v>
      </c>
      <c r="D456" s="1" t="str">
        <f t="array" ref="D456">XLOOKUP(B456,CONFIG!A:A,CONFIG!B:B)</f>
        <v>CORPO E BANHO</v>
      </c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ht="15.75" customHeight="1">
      <c r="A457" s="2" t="s">
        <v>717</v>
      </c>
      <c r="B457" s="3" t="s">
        <v>709</v>
      </c>
      <c r="C457" s="1" t="s">
        <v>710</v>
      </c>
      <c r="D457" s="1" t="str">
        <f t="array" ref="D457">XLOOKUP(B457,CONFIG!A:A,CONFIG!B:B)</f>
        <v>CORPO E BANHO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ht="15.75" customHeight="1">
      <c r="A458" s="2" t="s">
        <v>718</v>
      </c>
      <c r="B458" s="3" t="s">
        <v>709</v>
      </c>
      <c r="C458" s="1" t="s">
        <v>710</v>
      </c>
      <c r="D458" s="1" t="str">
        <f t="array" ref="D458">XLOOKUP(B458,CONFIG!A:A,CONFIG!B:B)</f>
        <v>CORPO E BANHO</v>
      </c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ht="15.75" customHeight="1">
      <c r="A459" s="2" t="s">
        <v>719</v>
      </c>
      <c r="B459" s="3" t="s">
        <v>709</v>
      </c>
      <c r="C459" s="1" t="s">
        <v>710</v>
      </c>
      <c r="D459" s="1" t="str">
        <f t="array" ref="D459">XLOOKUP(B459,CONFIG!A:A,CONFIG!B:B)</f>
        <v>CORPO E BANHO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ht="15.75" customHeight="1">
      <c r="A460" s="2" t="s">
        <v>720</v>
      </c>
      <c r="B460" s="3" t="s">
        <v>721</v>
      </c>
      <c r="C460" s="1"/>
      <c r="D460" s="1" t="str">
        <f t="array" ref="D460">XLOOKUP(B460,CONFIG!A:A,CONFIG!B:B)</f>
        <v>ALIMENTOS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ht="15.75" customHeight="1">
      <c r="A461" s="2" t="s">
        <v>722</v>
      </c>
      <c r="B461" s="3" t="s">
        <v>723</v>
      </c>
      <c r="C461" s="1"/>
      <c r="D461" s="1" t="str">
        <f t="array" ref="D461">XLOOKUP(B461,CONFIG!A:A,CONFIG!B:B)</f>
        <v>ALIMENTOS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ht="15.75" customHeight="1">
      <c r="A462" s="2" t="s">
        <v>724</v>
      </c>
      <c r="B462" s="3" t="s">
        <v>725</v>
      </c>
      <c r="C462" s="1"/>
      <c r="D462" s="1" t="str">
        <f t="array" ref="D462">XLOOKUP(B462,CONFIG!A:A,CONFIG!B:B)</f>
        <v>ALIMENTOS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ht="15.75" customHeight="1">
      <c r="A463" s="2" t="s">
        <v>726</v>
      </c>
      <c r="B463" s="3" t="s">
        <v>727</v>
      </c>
      <c r="C463" s="1" t="s">
        <v>70</v>
      </c>
      <c r="D463" s="1" t="str">
        <f t="array" ref="D463">XLOOKUP(B463,CONFIG!A:A,CONFIG!B:B)</f>
        <v>ALIMENTOS</v>
      </c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ht="15.75" customHeight="1">
      <c r="A464" s="2" t="s">
        <v>728</v>
      </c>
      <c r="B464" s="3" t="s">
        <v>729</v>
      </c>
      <c r="C464" s="1"/>
      <c r="D464" s="1" t="str">
        <f t="array" ref="D464">XLOOKUP(B464,CONFIG!A:A,CONFIG!B:B)</f>
        <v>ALIMENTOS</v>
      </c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ht="15.75" customHeight="1">
      <c r="A465" s="2" t="s">
        <v>730</v>
      </c>
      <c r="B465" s="3" t="s">
        <v>729</v>
      </c>
      <c r="C465" s="1"/>
      <c r="D465" s="1" t="str">
        <f t="array" ref="D465">XLOOKUP(B465,CONFIG!A:A,CONFIG!B:B)</f>
        <v>ALIMENTOS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ht="15.75" customHeight="1">
      <c r="A466" s="2" t="s">
        <v>731</v>
      </c>
      <c r="B466" s="3" t="s">
        <v>732</v>
      </c>
      <c r="C466" s="1"/>
      <c r="D466" s="1" t="str">
        <f t="array" ref="D466">XLOOKUP(B466,CONFIG!A:A,CONFIG!B:B)</f>
        <v>LIMPEZA</v>
      </c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ht="15.75" customHeight="1">
      <c r="A467" s="2" t="s">
        <v>733</v>
      </c>
      <c r="B467" s="3" t="s">
        <v>732</v>
      </c>
      <c r="C467" s="1" t="s">
        <v>734</v>
      </c>
      <c r="D467" s="1" t="str">
        <f t="array" ref="D467">XLOOKUP(B467,CONFIG!A:A,CONFIG!B:B)</f>
        <v>LIMPEZA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ht="15.75" customHeight="1">
      <c r="A468" s="2" t="s">
        <v>735</v>
      </c>
      <c r="B468" s="3" t="s">
        <v>587</v>
      </c>
      <c r="C468" s="1"/>
      <c r="D468" s="1" t="str">
        <f t="array" ref="D468">XLOOKUP(B468,CONFIG!A:A,CONFIG!B:B)</f>
        <v>ALIMENTOS</v>
      </c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ht="15.75" customHeight="1">
      <c r="A469" s="2" t="s">
        <v>736</v>
      </c>
      <c r="B469" s="3" t="s">
        <v>737</v>
      </c>
      <c r="C469" s="1" t="s">
        <v>53</v>
      </c>
      <c r="D469" s="1" t="str">
        <f t="array" ref="D469">XLOOKUP(B469,CONFIG!A:A,CONFIG!B:B)</f>
        <v>ALIMENTOS</v>
      </c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ht="15.75" customHeight="1">
      <c r="A470" s="2" t="s">
        <v>738</v>
      </c>
      <c r="B470" s="3" t="s">
        <v>739</v>
      </c>
      <c r="C470" s="1"/>
      <c r="D470" s="1" t="str">
        <f t="array" ref="D470">XLOOKUP(B470,CONFIG!A:A,CONFIG!B:B)</f>
        <v>ALIMENTOS</v>
      </c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ht="15.75" customHeight="1">
      <c r="A471" s="2" t="s">
        <v>740</v>
      </c>
      <c r="B471" s="3" t="s">
        <v>737</v>
      </c>
      <c r="C471" s="1" t="s">
        <v>53</v>
      </c>
      <c r="D471" s="1" t="str">
        <f t="array" ref="D471">XLOOKUP(B471,CONFIG!A:A,CONFIG!B:B)</f>
        <v>ALIMENTOS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ht="15.75" customHeight="1">
      <c r="A472" s="2" t="s">
        <v>741</v>
      </c>
      <c r="B472" s="3" t="s">
        <v>737</v>
      </c>
      <c r="C472" s="1" t="s">
        <v>53</v>
      </c>
      <c r="D472" s="1" t="str">
        <f t="array" ref="D472">XLOOKUP(B472,CONFIG!A:A,CONFIG!B:B)</f>
        <v>ALIMENTOS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ht="15.75" customHeight="1">
      <c r="A473" s="2" t="s">
        <v>742</v>
      </c>
      <c r="B473" s="3" t="s">
        <v>368</v>
      </c>
      <c r="C473" s="1" t="s">
        <v>230</v>
      </c>
      <c r="D473" s="1" t="str">
        <f t="array" ref="D473">XLOOKUP(B473,CONFIG!A:A,CONFIG!B:B)</f>
        <v>BEBIDAS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ht="15.75" customHeight="1">
      <c r="A474" s="2" t="s">
        <v>743</v>
      </c>
      <c r="B474" s="3" t="s">
        <v>307</v>
      </c>
      <c r="C474" s="1" t="s">
        <v>744</v>
      </c>
      <c r="D474" s="1" t="str">
        <f t="array" ref="D474">XLOOKUP(B474,CONFIG!A:A,CONFIG!B:B)</f>
        <v>LIMPEZA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ht="15.75" customHeight="1">
      <c r="A475" s="2" t="s">
        <v>745</v>
      </c>
      <c r="B475" s="3" t="s">
        <v>746</v>
      </c>
      <c r="C475" s="1"/>
      <c r="D475" s="1" t="str">
        <f t="array" ref="D475">XLOOKUP(B475,CONFIG!A:A,CONFIG!B:B)</f>
        <v>BEBIDAS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ht="15.75" customHeight="1">
      <c r="A476" s="2" t="s">
        <v>747</v>
      </c>
      <c r="B476" s="3" t="s">
        <v>746</v>
      </c>
      <c r="C476" s="1"/>
      <c r="D476" s="1" t="str">
        <f t="array" ref="D476">XLOOKUP(B476,CONFIG!A:A,CONFIG!B:B)</f>
        <v>BEBIDAS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ht="15.75" customHeight="1">
      <c r="A477" s="2" t="s">
        <v>748</v>
      </c>
      <c r="B477" s="3" t="s">
        <v>749</v>
      </c>
      <c r="C477" s="1"/>
      <c r="D477" s="1" t="str">
        <f t="array" ref="D477">XLOOKUP(B477,CONFIG!A:A,CONFIG!B:B)</f>
        <v>ALIMENTOS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ht="15.75" customHeight="1">
      <c r="A478" s="2" t="s">
        <v>750</v>
      </c>
      <c r="B478" s="3" t="s">
        <v>749</v>
      </c>
      <c r="C478" s="1"/>
      <c r="D478" s="1" t="str">
        <f t="array" ref="D478">XLOOKUP(B478,CONFIG!A:A,CONFIG!B:B)</f>
        <v>ALIMENTOS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ht="15.75" customHeight="1">
      <c r="A479" s="2" t="s">
        <v>751</v>
      </c>
      <c r="B479" s="3" t="s">
        <v>749</v>
      </c>
      <c r="C479" s="1"/>
      <c r="D479" s="1" t="str">
        <f t="array" ref="D479">XLOOKUP(B479,CONFIG!A:A,CONFIG!B:B)</f>
        <v>ALIMENTOS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ht="15.75" customHeight="1">
      <c r="A480" s="2" t="s">
        <v>752</v>
      </c>
      <c r="B480" s="3" t="s">
        <v>55</v>
      </c>
      <c r="C480" s="1" t="s">
        <v>55</v>
      </c>
      <c r="D480" s="1" t="str">
        <f t="array" ref="D480">XLOOKUP(B480,CONFIG!A:A,CONFIG!B:B)</f>
        <v>LIMPEZA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ht="15.75" customHeight="1">
      <c r="A481" s="2" t="s">
        <v>753</v>
      </c>
      <c r="B481" s="3" t="s">
        <v>607</v>
      </c>
      <c r="C481" s="1"/>
      <c r="D481" s="1" t="str">
        <f t="array" ref="D481">XLOOKUP(B481,CONFIG!A:A,CONFIG!B:B)</f>
        <v>CASA E COZINHA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ht="15.75" customHeight="1">
      <c r="A482" s="2" t="s">
        <v>754</v>
      </c>
      <c r="B482" s="3" t="s">
        <v>607</v>
      </c>
      <c r="C482" s="1" t="s">
        <v>552</v>
      </c>
      <c r="D482" s="1" t="str">
        <f t="array" ref="D482">XLOOKUP(B482,CONFIG!A:A,CONFIG!B:B)</f>
        <v>CASA E COZINHA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ht="15.75" customHeight="1">
      <c r="A483" s="2" t="s">
        <v>755</v>
      </c>
      <c r="B483" s="3" t="s">
        <v>755</v>
      </c>
      <c r="C483" s="1"/>
      <c r="D483" s="1" t="str">
        <f t="array" ref="D483">XLOOKUP(B483,CONFIG!A:A,CONFIG!B:B)</f>
        <v>BEBIDAS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ht="15.75" customHeight="1">
      <c r="A484" s="2" t="s">
        <v>756</v>
      </c>
      <c r="B484" s="3" t="s">
        <v>757</v>
      </c>
      <c r="C484" s="1"/>
      <c r="D484" s="1" t="str">
        <f t="array" ref="D484">XLOOKUP(B484,CONFIG!A:A,CONFIG!B:B)</f>
        <v>ALIMENTOS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ht="15.75" customHeight="1">
      <c r="A485" s="2" t="s">
        <v>758</v>
      </c>
      <c r="B485" s="3" t="s">
        <v>759</v>
      </c>
      <c r="C485" s="1"/>
      <c r="D485" s="1" t="str">
        <f t="array" ref="D485">XLOOKUP(B485,CONFIG!A:A,CONFIG!B:B)</f>
        <v>ALIMENTOS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ht="15.75" customHeight="1">
      <c r="A486" s="2" t="s">
        <v>760</v>
      </c>
      <c r="B486" s="3" t="s">
        <v>759</v>
      </c>
      <c r="C486" s="1"/>
      <c r="D486" s="1" t="str">
        <f t="array" ref="D486">XLOOKUP(B486,CONFIG!A:A,CONFIG!B:B)</f>
        <v>ALIMENTOS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ht="15.75" customHeight="1">
      <c r="A487" s="2" t="s">
        <v>761</v>
      </c>
      <c r="B487" s="3" t="s">
        <v>762</v>
      </c>
      <c r="C487" s="1"/>
      <c r="D487" s="1" t="str">
        <f t="array" ref="D487">XLOOKUP(B487,CONFIG!A:A,CONFIG!B:B)</f>
        <v>ALIMENTOS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ht="15.75" customHeight="1">
      <c r="A488" s="2" t="s">
        <v>763</v>
      </c>
      <c r="B488" s="3" t="s">
        <v>762</v>
      </c>
      <c r="C488" s="1"/>
      <c r="D488" s="1" t="str">
        <f t="array" ref="D488">XLOOKUP(B488,CONFIG!A:A,CONFIG!B:B)</f>
        <v>ALIMENTOS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ht="15.75" customHeight="1">
      <c r="A489" s="2" t="s">
        <v>764</v>
      </c>
      <c r="B489" s="3" t="s">
        <v>762</v>
      </c>
      <c r="C489" s="1"/>
      <c r="D489" s="1" t="str">
        <f t="array" ref="D489">XLOOKUP(B489,CONFIG!A:A,CONFIG!B:B)</f>
        <v>ALIMENTOS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ht="15.75" customHeight="1">
      <c r="A490" s="2" t="s">
        <v>765</v>
      </c>
      <c r="B490" s="3" t="s">
        <v>766</v>
      </c>
      <c r="C490" s="1" t="s">
        <v>195</v>
      </c>
      <c r="D490" s="1" t="str">
        <f t="array" ref="D490">XLOOKUP(B490,CONFIG!A:A,CONFIG!B:B)</f>
        <v>ALIMENTOS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ht="15.75" customHeight="1">
      <c r="A491" s="2" t="s">
        <v>767</v>
      </c>
      <c r="B491" s="3" t="s">
        <v>768</v>
      </c>
      <c r="C491" s="1"/>
      <c r="D491" s="1" t="str">
        <f t="array" ref="D491">XLOOKUP(B491,CONFIG!A:A,CONFIG!B:B)</f>
        <v>ALIMENTOS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ht="15.75" customHeight="1">
      <c r="A492" s="2" t="s">
        <v>769</v>
      </c>
      <c r="B492" s="3" t="s">
        <v>768</v>
      </c>
      <c r="C492" s="1" t="s">
        <v>577</v>
      </c>
      <c r="D492" s="1" t="str">
        <f t="array" ref="D492">XLOOKUP(B492,CONFIG!A:A,CONFIG!B:B)</f>
        <v>ALIMENTOS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ht="15.75" customHeight="1">
      <c r="A493" s="2" t="s">
        <v>769</v>
      </c>
      <c r="B493" s="3" t="s">
        <v>768</v>
      </c>
      <c r="C493" s="1" t="s">
        <v>577</v>
      </c>
      <c r="D493" s="1" t="str">
        <f t="array" ref="D493">XLOOKUP(B493,CONFIG!A:A,CONFIG!B:B)</f>
        <v>ALIMENTOS</v>
      </c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ht="15.75" customHeight="1">
      <c r="A494" s="2" t="s">
        <v>770</v>
      </c>
      <c r="B494" s="3" t="s">
        <v>768</v>
      </c>
      <c r="C494" s="1" t="s">
        <v>577</v>
      </c>
      <c r="D494" s="1" t="str">
        <f t="array" ref="D494">XLOOKUP(B494,CONFIG!A:A,CONFIG!B:B)</f>
        <v>ALIMENTOS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ht="15.75" customHeight="1">
      <c r="A495" s="2" t="s">
        <v>771</v>
      </c>
      <c r="B495" s="3" t="s">
        <v>768</v>
      </c>
      <c r="C495" s="1" t="s">
        <v>772</v>
      </c>
      <c r="D495" s="1" t="str">
        <f t="array" ref="D495">XLOOKUP(B495,CONFIG!A:A,CONFIG!B:B)</f>
        <v>ALIMENTOS</v>
      </c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ht="15.75" customHeight="1">
      <c r="A496" s="2" t="s">
        <v>773</v>
      </c>
      <c r="B496" s="3" t="s">
        <v>768</v>
      </c>
      <c r="C496" s="1" t="s">
        <v>577</v>
      </c>
      <c r="D496" s="1" t="str">
        <f t="array" ref="D496">XLOOKUP(B496,CONFIG!A:A,CONFIG!B:B)</f>
        <v>ALIMENTOS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ht="15.75" customHeight="1">
      <c r="A497" s="2" t="s">
        <v>774</v>
      </c>
      <c r="B497" s="3" t="s">
        <v>775</v>
      </c>
      <c r="C497" s="1"/>
      <c r="D497" s="1" t="str">
        <f t="array" ref="D497">XLOOKUP(B497,CONFIG!A:A,CONFIG!B:B)</f>
        <v>ALIMENTOS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ht="15.75" customHeight="1">
      <c r="A498" s="2" t="s">
        <v>776</v>
      </c>
      <c r="B498" s="3" t="s">
        <v>775</v>
      </c>
      <c r="C498" s="1"/>
      <c r="D498" s="1" t="str">
        <f t="array" ref="D498">XLOOKUP(B498,CONFIG!A:A,CONFIG!B:B)</f>
        <v>ALIMENTOS</v>
      </c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ht="15.75" customHeight="1">
      <c r="A499" s="2" t="s">
        <v>777</v>
      </c>
      <c r="B499" s="3" t="s">
        <v>775</v>
      </c>
      <c r="C499" s="1"/>
      <c r="D499" s="1" t="str">
        <f t="array" ref="D499">XLOOKUP(B499,CONFIG!A:A,CONFIG!B:B)</f>
        <v>ALIMENTOS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ht="15.75" customHeight="1">
      <c r="A500" s="2" t="s">
        <v>778</v>
      </c>
      <c r="B500" s="3" t="s">
        <v>775</v>
      </c>
      <c r="C500" s="1"/>
      <c r="D500" s="1" t="str">
        <f t="array" ref="D500">XLOOKUP(B500,CONFIG!A:A,CONFIG!B:B)</f>
        <v>ALIMENTOS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ht="15.75" customHeight="1">
      <c r="A501" s="2" t="s">
        <v>779</v>
      </c>
      <c r="B501" s="3" t="s">
        <v>775</v>
      </c>
      <c r="C501" s="1"/>
      <c r="D501" s="1" t="str">
        <f t="array" ref="D501">XLOOKUP(B501,CONFIG!A:A,CONFIG!B:B)</f>
        <v>ALIMENTOS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ht="15.75" customHeight="1">
      <c r="A502" s="2" t="s">
        <v>780</v>
      </c>
      <c r="B502" s="3" t="s">
        <v>781</v>
      </c>
      <c r="C502" s="1"/>
      <c r="D502" s="1" t="str">
        <f t="array" ref="D502">XLOOKUP(B502,CONFIG!A:A,CONFIG!B:B)</f>
        <v>ALIMENTOS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ht="15.75" customHeight="1">
      <c r="A503" s="2" t="s">
        <v>782</v>
      </c>
      <c r="B503" s="3" t="s">
        <v>781</v>
      </c>
      <c r="C503" s="1"/>
      <c r="D503" s="1" t="str">
        <f t="array" ref="D503">XLOOKUP(B503,CONFIG!A:A,CONFIG!B:B)</f>
        <v>ALIMENTOS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ht="15.75" customHeight="1">
      <c r="A504" s="2" t="s">
        <v>783</v>
      </c>
      <c r="B504" s="3" t="s">
        <v>55</v>
      </c>
      <c r="C504" s="1"/>
      <c r="D504" s="1" t="str">
        <f t="array" ref="D504">XLOOKUP(B504,CONFIG!A:A,CONFIG!B:B)</f>
        <v>LIMPEZA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ht="15.75" customHeight="1">
      <c r="A505" s="2" t="s">
        <v>783</v>
      </c>
      <c r="B505" s="3" t="s">
        <v>55</v>
      </c>
      <c r="C505" s="1"/>
      <c r="D505" s="1" t="str">
        <f t="array" ref="D505">XLOOKUP(B505,CONFIG!A:A,CONFIG!B:B)</f>
        <v>LIMPEZA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ht="15.75" customHeight="1">
      <c r="A506" s="2" t="s">
        <v>784</v>
      </c>
      <c r="B506" s="3" t="s">
        <v>55</v>
      </c>
      <c r="C506" s="1" t="s">
        <v>55</v>
      </c>
      <c r="D506" s="1" t="str">
        <f t="array" ref="D506">XLOOKUP(B506,CONFIG!A:A,CONFIG!B:B)</f>
        <v>LIMPEZA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ht="15.75" customHeight="1">
      <c r="A507" s="2" t="s">
        <v>785</v>
      </c>
      <c r="B507" s="3" t="s">
        <v>786</v>
      </c>
      <c r="C507" s="1"/>
      <c r="D507" s="1" t="str">
        <f t="array" ref="D507">XLOOKUP(B507,CONFIG!A:A,CONFIG!B:B)</f>
        <v>BEBIDAS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ht="15.75" customHeight="1">
      <c r="A508" s="2" t="s">
        <v>787</v>
      </c>
      <c r="B508" s="3" t="s">
        <v>788</v>
      </c>
      <c r="C508" s="1" t="s">
        <v>789</v>
      </c>
      <c r="D508" s="1" t="str">
        <f t="array" ref="D508">XLOOKUP(B508,CONFIG!A:A,CONFIG!B:B)</f>
        <v>ALIMENTOS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ht="15.75" customHeight="1">
      <c r="A509" s="2" t="s">
        <v>790</v>
      </c>
      <c r="B509" s="3" t="s">
        <v>788</v>
      </c>
      <c r="C509" s="1" t="s">
        <v>791</v>
      </c>
      <c r="D509" s="1" t="str">
        <f t="array" ref="D509">XLOOKUP(B509,CONFIG!A:A,CONFIG!B:B)</f>
        <v>ALIMENTOS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ht="15.75" customHeight="1">
      <c r="A510" s="2" t="s">
        <v>792</v>
      </c>
      <c r="B510" s="3" t="s">
        <v>786</v>
      </c>
      <c r="C510" s="1"/>
      <c r="D510" s="1" t="str">
        <f t="array" ref="D510">XLOOKUP(B510,CONFIG!A:A,CONFIG!B:B)</f>
        <v>BEBIDAS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ht="15.75" customHeight="1">
      <c r="A511" s="2" t="s">
        <v>793</v>
      </c>
      <c r="B511" s="3" t="s">
        <v>786</v>
      </c>
      <c r="C511" s="1"/>
      <c r="D511" s="1" t="str">
        <f t="array" ref="D511">XLOOKUP(B511,CONFIG!A:A,CONFIG!B:B)</f>
        <v>BEBIDAS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autoFilter ref="$A$1:$E$1000"/>
  <dataValidations>
    <dataValidation type="list" allowBlank="1" showErrorMessage="1" sqref="B2:B1000">
      <formula1>CONFIG!$A$2:$A1000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8.78"/>
    <col customWidth="1" min="2" max="2" width="15.89"/>
    <col customWidth="1" min="3" max="26" width="10.56"/>
  </cols>
  <sheetData>
    <row r="1" ht="15.75" customHeight="1">
      <c r="A1" s="4" t="s">
        <v>1</v>
      </c>
      <c r="B1" s="4" t="s">
        <v>3</v>
      </c>
    </row>
    <row r="2" ht="15.75" customHeight="1">
      <c r="A2" s="5" t="s">
        <v>6</v>
      </c>
      <c r="B2" s="5" t="s">
        <v>794</v>
      </c>
    </row>
    <row r="3" ht="15.75" customHeight="1">
      <c r="A3" s="5" t="s">
        <v>11</v>
      </c>
      <c r="B3" s="5" t="s">
        <v>795</v>
      </c>
    </row>
    <row r="4" ht="15.75" customHeight="1">
      <c r="A4" s="5" t="s">
        <v>249</v>
      </c>
      <c r="B4" s="5" t="s">
        <v>794</v>
      </c>
    </row>
    <row r="5" ht="15.75" customHeight="1">
      <c r="A5" s="5" t="s">
        <v>14</v>
      </c>
      <c r="B5" s="5" t="s">
        <v>794</v>
      </c>
    </row>
    <row r="6" ht="15.75" customHeight="1">
      <c r="A6" s="5" t="s">
        <v>20</v>
      </c>
      <c r="B6" s="5" t="s">
        <v>794</v>
      </c>
    </row>
    <row r="7" ht="15.75" customHeight="1">
      <c r="A7" s="5" t="s">
        <v>23</v>
      </c>
      <c r="B7" s="5" t="s">
        <v>794</v>
      </c>
    </row>
    <row r="8" ht="15.75" customHeight="1">
      <c r="A8" s="5" t="s">
        <v>17</v>
      </c>
      <c r="B8" s="5" t="s">
        <v>794</v>
      </c>
    </row>
    <row r="9" ht="15.75" customHeight="1">
      <c r="A9" s="5" t="s">
        <v>27</v>
      </c>
      <c r="B9" s="5" t="s">
        <v>796</v>
      </c>
    </row>
    <row r="10" ht="15.75" customHeight="1">
      <c r="A10" s="5" t="s">
        <v>29</v>
      </c>
      <c r="B10" s="5" t="s">
        <v>797</v>
      </c>
    </row>
    <row r="11" ht="15.75" customHeight="1">
      <c r="A11" s="5" t="s">
        <v>36</v>
      </c>
      <c r="B11" s="5" t="s">
        <v>794</v>
      </c>
    </row>
    <row r="12" ht="15.75" customHeight="1">
      <c r="A12" s="5" t="s">
        <v>39</v>
      </c>
      <c r="B12" s="5" t="s">
        <v>794</v>
      </c>
    </row>
    <row r="13" ht="15.75" customHeight="1">
      <c r="A13" s="5" t="s">
        <v>43</v>
      </c>
      <c r="B13" s="6" t="s">
        <v>794</v>
      </c>
    </row>
    <row r="14" ht="15.75" customHeight="1">
      <c r="A14" s="5" t="s">
        <v>52</v>
      </c>
      <c r="B14" s="5" t="s">
        <v>794</v>
      </c>
    </row>
    <row r="15" ht="15.75" customHeight="1">
      <c r="A15" s="5" t="s">
        <v>57</v>
      </c>
      <c r="B15" s="5" t="s">
        <v>798</v>
      </c>
    </row>
    <row r="16" ht="15.75" customHeight="1">
      <c r="A16" s="5" t="s">
        <v>60</v>
      </c>
      <c r="B16" s="5" t="s">
        <v>794</v>
      </c>
    </row>
    <row r="17" ht="15.75" customHeight="1">
      <c r="A17" s="5" t="s">
        <v>63</v>
      </c>
      <c r="B17" s="5" t="s">
        <v>794</v>
      </c>
    </row>
    <row r="18" ht="15.75" customHeight="1">
      <c r="A18" s="5" t="s">
        <v>69</v>
      </c>
      <c r="B18" s="5" t="s">
        <v>794</v>
      </c>
    </row>
    <row r="19" ht="15.75" customHeight="1">
      <c r="A19" s="7" t="s">
        <v>72</v>
      </c>
      <c r="B19" s="7" t="s">
        <v>794</v>
      </c>
    </row>
    <row r="20" ht="15.75" customHeight="1">
      <c r="A20" s="5" t="s">
        <v>76</v>
      </c>
      <c r="B20" s="5" t="s">
        <v>799</v>
      </c>
    </row>
    <row r="21" ht="15.75" customHeight="1">
      <c r="A21" s="5" t="s">
        <v>78</v>
      </c>
      <c r="B21" s="5" t="s">
        <v>794</v>
      </c>
    </row>
    <row r="22" ht="15.75" customHeight="1">
      <c r="A22" s="5" t="s">
        <v>81</v>
      </c>
      <c r="B22" s="5" t="s">
        <v>794</v>
      </c>
    </row>
    <row r="23" ht="15.75" customHeight="1">
      <c r="A23" s="5" t="s">
        <v>83</v>
      </c>
      <c r="B23" s="5" t="s">
        <v>794</v>
      </c>
    </row>
    <row r="24" ht="15.75" customHeight="1">
      <c r="A24" s="5" t="s">
        <v>89</v>
      </c>
      <c r="B24" s="5" t="s">
        <v>794</v>
      </c>
    </row>
    <row r="25" ht="15.75" customHeight="1">
      <c r="A25" s="5" t="s">
        <v>85</v>
      </c>
      <c r="B25" s="5" t="s">
        <v>794</v>
      </c>
    </row>
    <row r="26" ht="15.75" customHeight="1">
      <c r="A26" s="5" t="s">
        <v>92</v>
      </c>
      <c r="B26" s="5" t="s">
        <v>794</v>
      </c>
    </row>
    <row r="27" ht="15.75" customHeight="1">
      <c r="A27" s="5" t="s">
        <v>95</v>
      </c>
      <c r="B27" s="5" t="s">
        <v>794</v>
      </c>
    </row>
    <row r="28" ht="15.75" customHeight="1">
      <c r="A28" s="5" t="s">
        <v>98</v>
      </c>
      <c r="B28" s="5" t="s">
        <v>794</v>
      </c>
    </row>
    <row r="29" ht="15.75" customHeight="1">
      <c r="A29" s="7" t="s">
        <v>103</v>
      </c>
      <c r="B29" s="7" t="s">
        <v>794</v>
      </c>
    </row>
    <row r="30" ht="15.75" customHeight="1">
      <c r="A30" s="5" t="s">
        <v>110</v>
      </c>
      <c r="B30" s="5" t="s">
        <v>794</v>
      </c>
    </row>
    <row r="31" ht="15.75" customHeight="1">
      <c r="A31" s="7" t="s">
        <v>108</v>
      </c>
      <c r="B31" s="5" t="s">
        <v>794</v>
      </c>
    </row>
    <row r="32" ht="15.75" customHeight="1">
      <c r="A32" s="5" t="s">
        <v>115</v>
      </c>
      <c r="B32" s="5" t="s">
        <v>794</v>
      </c>
    </row>
    <row r="33" ht="15.75" customHeight="1">
      <c r="A33" s="5" t="s">
        <v>120</v>
      </c>
      <c r="B33" s="5" t="s">
        <v>794</v>
      </c>
    </row>
    <row r="34" ht="15.75" customHeight="1">
      <c r="A34" s="5" t="s">
        <v>124</v>
      </c>
      <c r="B34" s="5" t="s">
        <v>794</v>
      </c>
    </row>
    <row r="35" ht="15.75" customHeight="1">
      <c r="A35" s="7" t="s">
        <v>118</v>
      </c>
      <c r="B35" s="5" t="s">
        <v>794</v>
      </c>
    </row>
    <row r="36" ht="15.75" customHeight="1">
      <c r="A36" s="5" t="s">
        <v>542</v>
      </c>
      <c r="B36" s="5" t="s">
        <v>794</v>
      </c>
    </row>
    <row r="37" ht="15.75" customHeight="1">
      <c r="A37" s="5" t="s">
        <v>134</v>
      </c>
      <c r="B37" s="5" t="s">
        <v>794</v>
      </c>
    </row>
    <row r="38" ht="15.75" customHeight="1">
      <c r="A38" s="5" t="s">
        <v>137</v>
      </c>
      <c r="B38" s="5" t="s">
        <v>794</v>
      </c>
    </row>
    <row r="39" ht="15.75" customHeight="1">
      <c r="A39" s="5" t="s">
        <v>142</v>
      </c>
      <c r="B39" s="5" t="s">
        <v>796</v>
      </c>
    </row>
    <row r="40" ht="15.75" customHeight="1">
      <c r="A40" s="5" t="s">
        <v>145</v>
      </c>
      <c r="B40" s="5" t="s">
        <v>794</v>
      </c>
    </row>
    <row r="41" ht="15.75" customHeight="1">
      <c r="A41" s="5" t="s">
        <v>152</v>
      </c>
      <c r="B41" s="5" t="s">
        <v>794</v>
      </c>
    </row>
    <row r="42" ht="15.75" customHeight="1">
      <c r="A42" s="5" t="s">
        <v>154</v>
      </c>
      <c r="B42" s="5" t="s">
        <v>794</v>
      </c>
    </row>
    <row r="43" ht="15.75" customHeight="1">
      <c r="A43" s="5" t="s">
        <v>159</v>
      </c>
      <c r="B43" s="5" t="s">
        <v>794</v>
      </c>
    </row>
    <row r="44" ht="15.75" customHeight="1">
      <c r="A44" s="5" t="s">
        <v>163</v>
      </c>
      <c r="B44" s="5" t="s">
        <v>797</v>
      </c>
    </row>
    <row r="45" ht="15.75" customHeight="1">
      <c r="A45" s="7" t="s">
        <v>175</v>
      </c>
      <c r="B45" s="5" t="s">
        <v>797</v>
      </c>
    </row>
    <row r="46" ht="15.75" customHeight="1">
      <c r="A46" s="5" t="s">
        <v>182</v>
      </c>
      <c r="B46" s="5" t="s">
        <v>794</v>
      </c>
    </row>
    <row r="47" ht="15.75" customHeight="1">
      <c r="A47" s="5" t="s">
        <v>184</v>
      </c>
      <c r="B47" s="5" t="s">
        <v>794</v>
      </c>
    </row>
    <row r="48" ht="15.75" customHeight="1">
      <c r="A48" s="5" t="s">
        <v>179</v>
      </c>
      <c r="B48" s="5" t="s">
        <v>794</v>
      </c>
    </row>
    <row r="49" ht="15.75" customHeight="1">
      <c r="A49" s="5" t="s">
        <v>187</v>
      </c>
      <c r="B49" s="5" t="s">
        <v>794</v>
      </c>
    </row>
    <row r="50" ht="15.75" customHeight="1">
      <c r="A50" s="5" t="s">
        <v>192</v>
      </c>
      <c r="B50" s="5" t="s">
        <v>794</v>
      </c>
    </row>
    <row r="51" ht="15.75" customHeight="1">
      <c r="A51" s="5" t="s">
        <v>194</v>
      </c>
      <c r="B51" s="5" t="s">
        <v>794</v>
      </c>
    </row>
    <row r="52" ht="15.75" customHeight="1">
      <c r="A52" s="5" t="s">
        <v>197</v>
      </c>
      <c r="B52" s="5" t="s">
        <v>794</v>
      </c>
    </row>
    <row r="53" ht="15.75" customHeight="1">
      <c r="A53" s="7" t="s">
        <v>216</v>
      </c>
      <c r="B53" s="7" t="s">
        <v>797</v>
      </c>
    </row>
    <row r="54" ht="15.75" customHeight="1">
      <c r="A54" s="5" t="s">
        <v>699</v>
      </c>
      <c r="B54" s="5" t="s">
        <v>794</v>
      </c>
    </row>
    <row r="55" ht="15.75" customHeight="1">
      <c r="A55" s="5" t="s">
        <v>201</v>
      </c>
      <c r="B55" s="5" t="s">
        <v>794</v>
      </c>
    </row>
    <row r="56" ht="15.75" customHeight="1">
      <c r="A56" s="7" t="s">
        <v>240</v>
      </c>
      <c r="B56" s="5" t="s">
        <v>794</v>
      </c>
    </row>
    <row r="57" ht="15.75" customHeight="1">
      <c r="A57" s="7" t="s">
        <v>800</v>
      </c>
      <c r="B57" s="5" t="s">
        <v>794</v>
      </c>
    </row>
    <row r="58" ht="15.75" customHeight="1">
      <c r="A58" s="7" t="s">
        <v>238</v>
      </c>
      <c r="B58" s="5" t="s">
        <v>794</v>
      </c>
    </row>
    <row r="59" ht="15.75" customHeight="1">
      <c r="A59" s="7" t="s">
        <v>243</v>
      </c>
      <c r="B59" s="5" t="s">
        <v>794</v>
      </c>
    </row>
    <row r="60" ht="15.75" customHeight="1">
      <c r="A60" s="7" t="s">
        <v>205</v>
      </c>
      <c r="B60" s="5" t="s">
        <v>794</v>
      </c>
    </row>
    <row r="61" ht="15.75" customHeight="1">
      <c r="A61" s="5" t="s">
        <v>199</v>
      </c>
      <c r="B61" s="5" t="s">
        <v>794</v>
      </c>
    </row>
    <row r="62" ht="15.75" customHeight="1">
      <c r="A62" s="5" t="s">
        <v>207</v>
      </c>
      <c r="B62" s="5" t="s">
        <v>794</v>
      </c>
    </row>
    <row r="63" ht="15.75" customHeight="1">
      <c r="A63" s="5" t="s">
        <v>437</v>
      </c>
      <c r="B63" s="5" t="s">
        <v>798</v>
      </c>
    </row>
    <row r="64" ht="15.75" customHeight="1">
      <c r="A64" s="5" t="s">
        <v>213</v>
      </c>
      <c r="B64" s="5" t="s">
        <v>794</v>
      </c>
    </row>
    <row r="65" ht="15.75" customHeight="1">
      <c r="A65" s="5" t="s">
        <v>224</v>
      </c>
      <c r="B65" s="5" t="s">
        <v>794</v>
      </c>
    </row>
    <row r="66" ht="15.75" customHeight="1">
      <c r="A66" s="5" t="s">
        <v>221</v>
      </c>
      <c r="B66" s="5" t="s">
        <v>794</v>
      </c>
    </row>
    <row r="67" ht="15.75" customHeight="1">
      <c r="A67" s="5" t="s">
        <v>734</v>
      </c>
      <c r="B67" s="5" t="s">
        <v>798</v>
      </c>
    </row>
    <row r="68" ht="15.75" customHeight="1">
      <c r="A68" s="5" t="s">
        <v>232</v>
      </c>
      <c r="B68" s="5" t="s">
        <v>794</v>
      </c>
    </row>
    <row r="69" ht="15.75" customHeight="1">
      <c r="A69" s="5" t="s">
        <v>235</v>
      </c>
      <c r="B69" s="5" t="s">
        <v>794</v>
      </c>
    </row>
    <row r="70" ht="15.75" customHeight="1">
      <c r="A70" s="5" t="s">
        <v>258</v>
      </c>
      <c r="B70" s="5" t="s">
        <v>794</v>
      </c>
    </row>
    <row r="71" ht="15.75" customHeight="1">
      <c r="A71" s="5" t="s">
        <v>263</v>
      </c>
      <c r="B71" s="5" t="s">
        <v>794</v>
      </c>
    </row>
    <row r="72" ht="15.75" customHeight="1">
      <c r="A72" s="5" t="s">
        <v>265</v>
      </c>
      <c r="B72" s="5" t="s">
        <v>794</v>
      </c>
    </row>
    <row r="73" ht="15.75" customHeight="1">
      <c r="A73" s="5" t="s">
        <v>269</v>
      </c>
      <c r="B73" s="5" t="s">
        <v>794</v>
      </c>
    </row>
    <row r="74" ht="15.75" customHeight="1">
      <c r="A74" s="5" t="s">
        <v>282</v>
      </c>
      <c r="B74" s="5" t="s">
        <v>794</v>
      </c>
    </row>
    <row r="75" ht="15.75" customHeight="1">
      <c r="A75" s="5" t="s">
        <v>229</v>
      </c>
      <c r="B75" s="5" t="s">
        <v>794</v>
      </c>
    </row>
    <row r="76" ht="15.75" customHeight="1">
      <c r="A76" s="5" t="s">
        <v>275</v>
      </c>
      <c r="B76" s="5" t="s">
        <v>795</v>
      </c>
    </row>
    <row r="77" ht="15.75" customHeight="1">
      <c r="A77" s="5" t="s">
        <v>35</v>
      </c>
      <c r="B77" s="5" t="s">
        <v>798</v>
      </c>
    </row>
    <row r="78" ht="15.75" customHeight="1">
      <c r="A78" s="5" t="s">
        <v>411</v>
      </c>
      <c r="B78" s="5" t="s">
        <v>798</v>
      </c>
    </row>
    <row r="79" ht="15.75" customHeight="1">
      <c r="A79" s="5" t="s">
        <v>295</v>
      </c>
      <c r="B79" s="5" t="s">
        <v>794</v>
      </c>
    </row>
    <row r="80" ht="15.75" customHeight="1">
      <c r="A80" s="5" t="s">
        <v>298</v>
      </c>
      <c r="B80" s="5" t="s">
        <v>794</v>
      </c>
    </row>
    <row r="81" ht="15.75" customHeight="1">
      <c r="A81" s="5" t="s">
        <v>300</v>
      </c>
      <c r="B81" s="5" t="s">
        <v>795</v>
      </c>
    </row>
    <row r="82" ht="15.75" customHeight="1">
      <c r="A82" s="5" t="s">
        <v>303</v>
      </c>
      <c r="B82" s="5" t="s">
        <v>795</v>
      </c>
    </row>
    <row r="83" ht="15.75" customHeight="1">
      <c r="A83" s="5" t="s">
        <v>307</v>
      </c>
      <c r="B83" s="5" t="s">
        <v>798</v>
      </c>
    </row>
    <row r="84" ht="15.75" customHeight="1">
      <c r="A84" s="5" t="s">
        <v>313</v>
      </c>
      <c r="B84" s="5" t="s">
        <v>794</v>
      </c>
    </row>
    <row r="85" ht="15.75" customHeight="1">
      <c r="A85" s="5" t="s">
        <v>324</v>
      </c>
      <c r="B85" s="5" t="s">
        <v>794</v>
      </c>
    </row>
    <row r="86" ht="15.75" customHeight="1">
      <c r="A86" s="5" t="s">
        <v>328</v>
      </c>
      <c r="B86" s="5" t="s">
        <v>794</v>
      </c>
    </row>
    <row r="87" ht="15.75" customHeight="1">
      <c r="A87" s="5" t="s">
        <v>330</v>
      </c>
      <c r="B87" s="5" t="s">
        <v>794</v>
      </c>
    </row>
    <row r="88" ht="15.75" customHeight="1">
      <c r="A88" s="5" t="s">
        <v>339</v>
      </c>
      <c r="B88" s="5" t="s">
        <v>796</v>
      </c>
    </row>
    <row r="89" ht="15.75" customHeight="1">
      <c r="A89" s="5" t="s">
        <v>345</v>
      </c>
      <c r="B89" s="5" t="s">
        <v>799</v>
      </c>
    </row>
    <row r="90" ht="15.75" customHeight="1">
      <c r="A90" s="5" t="s">
        <v>348</v>
      </c>
      <c r="B90" s="5" t="s">
        <v>794</v>
      </c>
    </row>
    <row r="91" ht="15.75" customHeight="1">
      <c r="A91" s="5" t="s">
        <v>350</v>
      </c>
      <c r="B91" s="5" t="s">
        <v>797</v>
      </c>
    </row>
    <row r="92" ht="15.75" customHeight="1">
      <c r="A92" s="5" t="s">
        <v>352</v>
      </c>
      <c r="B92" s="5" t="s">
        <v>794</v>
      </c>
    </row>
    <row r="93" ht="15.75" customHeight="1">
      <c r="A93" s="5" t="s">
        <v>353</v>
      </c>
      <c r="B93" s="5" t="s">
        <v>794</v>
      </c>
    </row>
    <row r="94" ht="15.75" customHeight="1">
      <c r="A94" s="5" t="s">
        <v>358</v>
      </c>
      <c r="B94" s="5" t="s">
        <v>794</v>
      </c>
    </row>
    <row r="95" ht="15.75" customHeight="1">
      <c r="A95" s="5" t="s">
        <v>365</v>
      </c>
      <c r="B95" s="5" t="s">
        <v>794</v>
      </c>
    </row>
    <row r="96" ht="15.75" customHeight="1">
      <c r="A96" s="5" t="s">
        <v>371</v>
      </c>
      <c r="B96" s="5" t="s">
        <v>799</v>
      </c>
    </row>
    <row r="97" ht="15.75" customHeight="1">
      <c r="A97" s="5" t="s">
        <v>452</v>
      </c>
      <c r="B97" s="5" t="s">
        <v>795</v>
      </c>
    </row>
    <row r="98" ht="15.75" customHeight="1">
      <c r="A98" s="5" t="s">
        <v>388</v>
      </c>
      <c r="B98" s="5" t="s">
        <v>797</v>
      </c>
    </row>
    <row r="99" ht="15.75" customHeight="1">
      <c r="A99" s="5" t="s">
        <v>368</v>
      </c>
      <c r="B99" s="5" t="s">
        <v>797</v>
      </c>
    </row>
    <row r="100" ht="15.75" customHeight="1">
      <c r="A100" s="5" t="s">
        <v>383</v>
      </c>
      <c r="B100" s="5" t="s">
        <v>797</v>
      </c>
    </row>
    <row r="101" ht="15.75" customHeight="1">
      <c r="A101" s="5" t="s">
        <v>386</v>
      </c>
      <c r="B101" s="5" t="s">
        <v>797</v>
      </c>
    </row>
    <row r="102" ht="15.75" customHeight="1">
      <c r="A102" s="5" t="s">
        <v>408</v>
      </c>
      <c r="B102" s="5" t="s">
        <v>794</v>
      </c>
    </row>
    <row r="103" ht="15.75" customHeight="1">
      <c r="A103" s="5" t="s">
        <v>131</v>
      </c>
      <c r="B103" s="5" t="s">
        <v>797</v>
      </c>
    </row>
    <row r="104" ht="15.75" customHeight="1">
      <c r="A104" s="5" t="s">
        <v>419</v>
      </c>
      <c r="B104" s="5" t="s">
        <v>794</v>
      </c>
    </row>
    <row r="105" ht="15.75" customHeight="1">
      <c r="A105" s="5" t="s">
        <v>456</v>
      </c>
      <c r="B105" s="5" t="s">
        <v>797</v>
      </c>
    </row>
    <row r="106" ht="15.75" customHeight="1">
      <c r="A106" s="5" t="s">
        <v>425</v>
      </c>
      <c r="B106" s="5" t="s">
        <v>797</v>
      </c>
    </row>
    <row r="107" ht="15.75" customHeight="1">
      <c r="A107" s="5" t="s">
        <v>423</v>
      </c>
      <c r="B107" s="5" t="s">
        <v>797</v>
      </c>
    </row>
    <row r="108" ht="15.75" customHeight="1">
      <c r="A108" s="5" t="s">
        <v>251</v>
      </c>
      <c r="B108" s="5" t="s">
        <v>794</v>
      </c>
    </row>
    <row r="109" ht="15.75" customHeight="1">
      <c r="A109" s="5" t="s">
        <v>434</v>
      </c>
      <c r="B109" s="5" t="s">
        <v>794</v>
      </c>
    </row>
    <row r="110" ht="15.75" customHeight="1">
      <c r="A110" s="5" t="s">
        <v>440</v>
      </c>
      <c r="B110" s="5" t="s">
        <v>794</v>
      </c>
    </row>
    <row r="111" ht="15.75" customHeight="1">
      <c r="A111" s="5" t="s">
        <v>443</v>
      </c>
      <c r="B111" s="5" t="s">
        <v>794</v>
      </c>
    </row>
    <row r="112" ht="15.75" customHeight="1">
      <c r="A112" s="5" t="s">
        <v>462</v>
      </c>
      <c r="B112" s="5" t="s">
        <v>794</v>
      </c>
    </row>
    <row r="113" ht="15.75" customHeight="1">
      <c r="A113" s="5" t="s">
        <v>464</v>
      </c>
      <c r="B113" s="5" t="s">
        <v>794</v>
      </c>
    </row>
    <row r="114" ht="15.75" customHeight="1">
      <c r="A114" s="5" t="s">
        <v>470</v>
      </c>
      <c r="B114" s="5" t="s">
        <v>794</v>
      </c>
    </row>
    <row r="115" ht="15.75" customHeight="1">
      <c r="A115" s="5" t="s">
        <v>475</v>
      </c>
      <c r="B115" s="5" t="s">
        <v>794</v>
      </c>
    </row>
    <row r="116" ht="15.75" customHeight="1">
      <c r="A116" s="5" t="s">
        <v>472</v>
      </c>
      <c r="B116" s="5" t="s">
        <v>794</v>
      </c>
    </row>
    <row r="117" ht="15.75" customHeight="1">
      <c r="A117" s="5" t="s">
        <v>467</v>
      </c>
      <c r="B117" s="5" t="s">
        <v>794</v>
      </c>
    </row>
    <row r="118" ht="15.75" customHeight="1">
      <c r="A118" s="5" t="s">
        <v>477</v>
      </c>
      <c r="B118" s="5" t="s">
        <v>794</v>
      </c>
    </row>
    <row r="119" ht="15.75" customHeight="1">
      <c r="A119" s="5" t="s">
        <v>485</v>
      </c>
      <c r="B119" s="5" t="s">
        <v>794</v>
      </c>
    </row>
    <row r="120" ht="15.75" customHeight="1">
      <c r="A120" s="5" t="s">
        <v>488</v>
      </c>
      <c r="B120" s="5" t="s">
        <v>794</v>
      </c>
    </row>
    <row r="121" ht="15.75" customHeight="1">
      <c r="A121" s="5" t="s">
        <v>492</v>
      </c>
      <c r="B121" s="5" t="s">
        <v>794</v>
      </c>
    </row>
    <row r="122" ht="15.75" customHeight="1">
      <c r="A122" s="5" t="s">
        <v>494</v>
      </c>
      <c r="B122" s="5" t="s">
        <v>794</v>
      </c>
    </row>
    <row r="123" ht="15.75" customHeight="1">
      <c r="A123" s="5" t="s">
        <v>157</v>
      </c>
      <c r="B123" s="5" t="s">
        <v>794</v>
      </c>
    </row>
    <row r="124" ht="15.75" customHeight="1">
      <c r="A124" s="5" t="s">
        <v>801</v>
      </c>
      <c r="B124" s="5" t="s">
        <v>794</v>
      </c>
    </row>
    <row r="125" ht="15.75" customHeight="1">
      <c r="A125" s="5" t="s">
        <v>505</v>
      </c>
      <c r="B125" s="5" t="s">
        <v>794</v>
      </c>
    </row>
    <row r="126" ht="15.75" customHeight="1">
      <c r="A126" s="5" t="s">
        <v>510</v>
      </c>
      <c r="B126" s="5" t="s">
        <v>794</v>
      </c>
    </row>
    <row r="127" ht="15.75" customHeight="1">
      <c r="A127" s="5" t="s">
        <v>515</v>
      </c>
      <c r="B127" s="5" t="s">
        <v>794</v>
      </c>
    </row>
    <row r="128" ht="15.75" customHeight="1">
      <c r="A128" s="5" t="s">
        <v>521</v>
      </c>
      <c r="B128" s="5" t="s">
        <v>794</v>
      </c>
    </row>
    <row r="129" ht="15.75" customHeight="1">
      <c r="A129" s="5" t="s">
        <v>532</v>
      </c>
      <c r="B129" s="5" t="s">
        <v>794</v>
      </c>
    </row>
    <row r="130" ht="15.75" customHeight="1">
      <c r="A130" s="5" t="s">
        <v>537</v>
      </c>
      <c r="B130" s="5" t="s">
        <v>794</v>
      </c>
    </row>
    <row r="131" ht="15.75" customHeight="1">
      <c r="A131" s="5" t="s">
        <v>540</v>
      </c>
      <c r="B131" s="5" t="s">
        <v>794</v>
      </c>
    </row>
    <row r="132" ht="15.75" customHeight="1">
      <c r="A132" s="5" t="s">
        <v>544</v>
      </c>
      <c r="B132" s="5" t="s">
        <v>794</v>
      </c>
    </row>
    <row r="133" ht="15.75" customHeight="1">
      <c r="A133" s="5" t="s">
        <v>547</v>
      </c>
      <c r="B133" s="5" t="s">
        <v>794</v>
      </c>
    </row>
    <row r="134" ht="15.75" customHeight="1">
      <c r="A134" s="5" t="s">
        <v>551</v>
      </c>
      <c r="B134" s="5" t="s">
        <v>794</v>
      </c>
    </row>
    <row r="135" ht="15.75" customHeight="1">
      <c r="A135" s="5" t="s">
        <v>245</v>
      </c>
      <c r="B135" s="5" t="s">
        <v>794</v>
      </c>
    </row>
    <row r="136" ht="15.75" customHeight="1">
      <c r="A136" s="5" t="s">
        <v>557</v>
      </c>
      <c r="B136" s="5" t="s">
        <v>794</v>
      </c>
    </row>
    <row r="137" ht="15.75" customHeight="1">
      <c r="A137" s="5" t="s">
        <v>560</v>
      </c>
      <c r="B137" s="5" t="s">
        <v>794</v>
      </c>
    </row>
    <row r="138" ht="15.75" customHeight="1">
      <c r="A138" s="5" t="s">
        <v>569</v>
      </c>
      <c r="B138" s="5" t="s">
        <v>794</v>
      </c>
    </row>
    <row r="139" ht="15.75" customHeight="1">
      <c r="A139" s="5" t="s">
        <v>564</v>
      </c>
      <c r="B139" s="5" t="s">
        <v>794</v>
      </c>
    </row>
    <row r="140" ht="15.75" customHeight="1">
      <c r="A140" s="5" t="s">
        <v>571</v>
      </c>
      <c r="B140" s="5" t="s">
        <v>794</v>
      </c>
    </row>
    <row r="141" ht="15.75" customHeight="1">
      <c r="A141" s="5" t="s">
        <v>573</v>
      </c>
      <c r="B141" s="5" t="s">
        <v>794</v>
      </c>
    </row>
    <row r="142" ht="15.75" customHeight="1">
      <c r="A142" s="5" t="s">
        <v>576</v>
      </c>
      <c r="B142" s="5" t="s">
        <v>794</v>
      </c>
    </row>
    <row r="143" ht="15.75" customHeight="1">
      <c r="A143" s="5" t="s">
        <v>580</v>
      </c>
      <c r="B143" s="5" t="s">
        <v>794</v>
      </c>
    </row>
    <row r="144" ht="15.75" customHeight="1">
      <c r="A144" s="5" t="s">
        <v>148</v>
      </c>
      <c r="B144" s="5" t="s">
        <v>794</v>
      </c>
    </row>
    <row r="145" ht="15.75" customHeight="1">
      <c r="A145" s="5" t="s">
        <v>582</v>
      </c>
      <c r="B145" s="5" t="s">
        <v>794</v>
      </c>
    </row>
    <row r="146" ht="15.75" customHeight="1">
      <c r="A146" s="5" t="s">
        <v>587</v>
      </c>
      <c r="B146" s="5" t="s">
        <v>794</v>
      </c>
    </row>
    <row r="147" ht="15.75" customHeight="1">
      <c r="A147" s="5" t="s">
        <v>802</v>
      </c>
      <c r="B147" s="5" t="s">
        <v>794</v>
      </c>
    </row>
    <row r="148" ht="15.75" customHeight="1">
      <c r="A148" s="5" t="s">
        <v>595</v>
      </c>
      <c r="B148" s="5" t="s">
        <v>794</v>
      </c>
    </row>
    <row r="149" ht="15.75" customHeight="1">
      <c r="A149" s="5" t="s">
        <v>600</v>
      </c>
      <c r="B149" s="5" t="s">
        <v>795</v>
      </c>
    </row>
    <row r="150" ht="15.75" customHeight="1">
      <c r="A150" s="5" t="s">
        <v>607</v>
      </c>
      <c r="B150" s="5" t="s">
        <v>799</v>
      </c>
    </row>
    <row r="151" ht="15.75" customHeight="1">
      <c r="A151" s="5" t="s">
        <v>803</v>
      </c>
      <c r="B151" s="5" t="s">
        <v>794</v>
      </c>
    </row>
    <row r="152" ht="15.75" customHeight="1">
      <c r="A152" s="5" t="s">
        <v>615</v>
      </c>
      <c r="B152" s="5" t="s">
        <v>794</v>
      </c>
    </row>
    <row r="153" ht="15.75" customHeight="1">
      <c r="A153" s="5" t="s">
        <v>613</v>
      </c>
      <c r="B153" s="5" t="s">
        <v>794</v>
      </c>
    </row>
    <row r="154" ht="15.75" customHeight="1">
      <c r="A154" s="5" t="s">
        <v>623</v>
      </c>
      <c r="B154" s="5" t="s">
        <v>794</v>
      </c>
    </row>
    <row r="155" ht="15.75" customHeight="1">
      <c r="A155" s="5" t="s">
        <v>627</v>
      </c>
      <c r="B155" s="5" t="s">
        <v>794</v>
      </c>
    </row>
    <row r="156" ht="15.75" customHeight="1">
      <c r="A156" s="5" t="s">
        <v>334</v>
      </c>
      <c r="B156" s="5" t="s">
        <v>794</v>
      </c>
    </row>
    <row r="157" ht="15.75" customHeight="1">
      <c r="A157" s="5" t="s">
        <v>631</v>
      </c>
      <c r="B157" s="5" t="s">
        <v>794</v>
      </c>
    </row>
    <row r="158" ht="15.75" customHeight="1">
      <c r="A158" s="5" t="s">
        <v>633</v>
      </c>
      <c r="B158" s="5" t="s">
        <v>794</v>
      </c>
    </row>
    <row r="159" ht="15.75" customHeight="1">
      <c r="A159" s="5" t="s">
        <v>638</v>
      </c>
      <c r="B159" s="5" t="s">
        <v>794</v>
      </c>
    </row>
    <row r="160" ht="15.75" customHeight="1">
      <c r="A160" s="5" t="s">
        <v>640</v>
      </c>
      <c r="B160" s="5" t="s">
        <v>794</v>
      </c>
    </row>
    <row r="161" ht="15.75" customHeight="1">
      <c r="A161" s="5" t="s">
        <v>647</v>
      </c>
      <c r="B161" s="5" t="s">
        <v>794</v>
      </c>
    </row>
    <row r="162" ht="15.75" customHeight="1">
      <c r="A162" s="5" t="s">
        <v>253</v>
      </c>
      <c r="B162" s="5" t="s">
        <v>794</v>
      </c>
    </row>
    <row r="163" ht="15.75" customHeight="1">
      <c r="A163" s="5" t="s">
        <v>650</v>
      </c>
      <c r="B163" s="5" t="s">
        <v>794</v>
      </c>
    </row>
    <row r="164" ht="15.75" customHeight="1">
      <c r="A164" s="5" t="s">
        <v>652</v>
      </c>
      <c r="B164" s="5" t="s">
        <v>794</v>
      </c>
    </row>
    <row r="165" ht="15.75" customHeight="1">
      <c r="A165" s="5" t="s">
        <v>653</v>
      </c>
      <c r="B165" s="5" t="s">
        <v>794</v>
      </c>
    </row>
    <row r="166" ht="15.75" customHeight="1">
      <c r="A166" s="5" t="s">
        <v>663</v>
      </c>
      <c r="B166" s="5" t="s">
        <v>794</v>
      </c>
    </row>
    <row r="167" ht="15.75" customHeight="1">
      <c r="A167" s="5" t="s">
        <v>682</v>
      </c>
      <c r="B167" s="5" t="s">
        <v>794</v>
      </c>
    </row>
    <row r="168" ht="15.75" customHeight="1">
      <c r="A168" s="5" t="s">
        <v>356</v>
      </c>
      <c r="B168" s="5" t="s">
        <v>794</v>
      </c>
    </row>
    <row r="169" ht="15.75" customHeight="1">
      <c r="A169" s="5" t="s">
        <v>667</v>
      </c>
      <c r="B169" s="5" t="s">
        <v>794</v>
      </c>
    </row>
    <row r="170" ht="15.75" customHeight="1">
      <c r="A170" s="5" t="s">
        <v>671</v>
      </c>
      <c r="B170" s="5" t="s">
        <v>794</v>
      </c>
    </row>
    <row r="171" ht="15.75" customHeight="1">
      <c r="A171" s="5" t="s">
        <v>674</v>
      </c>
      <c r="B171" s="5" t="s">
        <v>794</v>
      </c>
    </row>
    <row r="172" ht="15.75" customHeight="1">
      <c r="A172" s="5" t="s">
        <v>620</v>
      </c>
      <c r="B172" s="5" t="s">
        <v>794</v>
      </c>
    </row>
    <row r="173" ht="15.75" customHeight="1">
      <c r="A173" s="5" t="s">
        <v>804</v>
      </c>
      <c r="B173" s="5" t="s">
        <v>794</v>
      </c>
    </row>
    <row r="174" ht="15.75" customHeight="1">
      <c r="A174" s="5" t="s">
        <v>659</v>
      </c>
      <c r="B174" s="5" t="s">
        <v>794</v>
      </c>
    </row>
    <row r="175" ht="15.75" customHeight="1">
      <c r="A175" s="5" t="s">
        <v>690</v>
      </c>
      <c r="B175" s="5" t="s">
        <v>794</v>
      </c>
    </row>
    <row r="176" ht="15.75" customHeight="1">
      <c r="A176" s="5" t="s">
        <v>693</v>
      </c>
      <c r="B176" s="5" t="s">
        <v>794</v>
      </c>
    </row>
    <row r="177" ht="15.75" customHeight="1">
      <c r="A177" s="5" t="s">
        <v>416</v>
      </c>
      <c r="B177" s="5" t="s">
        <v>798</v>
      </c>
    </row>
    <row r="178" ht="15.75" customHeight="1">
      <c r="A178" s="5" t="s">
        <v>704</v>
      </c>
      <c r="B178" s="5" t="s">
        <v>798</v>
      </c>
    </row>
    <row r="179" ht="15.75" customHeight="1">
      <c r="A179" s="5" t="s">
        <v>709</v>
      </c>
      <c r="B179" s="5" t="s">
        <v>795</v>
      </c>
    </row>
    <row r="180" ht="15.75" customHeight="1">
      <c r="A180" s="5" t="s">
        <v>707</v>
      </c>
      <c r="B180" s="5" t="s">
        <v>795</v>
      </c>
    </row>
    <row r="181" ht="15.75" customHeight="1">
      <c r="A181" s="5" t="s">
        <v>727</v>
      </c>
      <c r="B181" s="5" t="s">
        <v>794</v>
      </c>
    </row>
    <row r="182" ht="15.75" customHeight="1">
      <c r="A182" s="5" t="s">
        <v>737</v>
      </c>
      <c r="B182" s="5" t="s">
        <v>794</v>
      </c>
    </row>
    <row r="183" ht="15.75" customHeight="1">
      <c r="A183" s="5" t="s">
        <v>210</v>
      </c>
      <c r="B183" s="5" t="s">
        <v>794</v>
      </c>
    </row>
    <row r="184" ht="15.75" customHeight="1">
      <c r="A184" s="5" t="s">
        <v>749</v>
      </c>
      <c r="B184" s="5" t="s">
        <v>794</v>
      </c>
    </row>
    <row r="185" ht="15.75" customHeight="1">
      <c r="A185" s="5" t="s">
        <v>759</v>
      </c>
      <c r="B185" s="5" t="s">
        <v>794</v>
      </c>
    </row>
    <row r="186" ht="15.75" customHeight="1">
      <c r="A186" s="5" t="s">
        <v>343</v>
      </c>
      <c r="B186" s="5" t="s">
        <v>794</v>
      </c>
    </row>
    <row r="187" ht="15.75" customHeight="1">
      <c r="A187" s="5" t="s">
        <v>762</v>
      </c>
      <c r="B187" s="5" t="s">
        <v>794</v>
      </c>
    </row>
    <row r="188" ht="15.75" customHeight="1">
      <c r="A188" s="5" t="s">
        <v>766</v>
      </c>
      <c r="B188" s="5" t="s">
        <v>794</v>
      </c>
    </row>
    <row r="189" ht="15.75" customHeight="1">
      <c r="A189" s="5" t="s">
        <v>805</v>
      </c>
      <c r="B189" s="5" t="s">
        <v>794</v>
      </c>
    </row>
    <row r="190" ht="15.75" customHeight="1">
      <c r="A190" s="5" t="s">
        <v>768</v>
      </c>
      <c r="B190" s="5" t="s">
        <v>794</v>
      </c>
    </row>
    <row r="191" ht="15.75" customHeight="1">
      <c r="A191" s="5" t="s">
        <v>775</v>
      </c>
      <c r="B191" s="5" t="s">
        <v>794</v>
      </c>
    </row>
    <row r="192" ht="15.75" customHeight="1">
      <c r="A192" s="5" t="s">
        <v>777</v>
      </c>
      <c r="B192" s="5" t="s">
        <v>794</v>
      </c>
    </row>
    <row r="193" ht="15.75" customHeight="1">
      <c r="A193" s="5" t="s">
        <v>806</v>
      </c>
      <c r="B193" s="5" t="s">
        <v>794</v>
      </c>
    </row>
    <row r="194" ht="15.75" customHeight="1">
      <c r="A194" s="5" t="s">
        <v>781</v>
      </c>
      <c r="B194" s="5" t="s">
        <v>794</v>
      </c>
    </row>
    <row r="195" ht="15.75" customHeight="1">
      <c r="A195" s="5" t="s">
        <v>55</v>
      </c>
      <c r="B195" s="5" t="s">
        <v>798</v>
      </c>
    </row>
    <row r="196" ht="15.75" customHeight="1">
      <c r="A196" s="5" t="s">
        <v>807</v>
      </c>
      <c r="B196" s="5" t="s">
        <v>794</v>
      </c>
    </row>
    <row r="197" ht="15.75" customHeight="1">
      <c r="A197" s="5" t="s">
        <v>788</v>
      </c>
      <c r="B197" s="5" t="s">
        <v>794</v>
      </c>
    </row>
    <row r="198" ht="15.75" customHeight="1">
      <c r="A198" s="7" t="s">
        <v>256</v>
      </c>
      <c r="B198" s="7" t="s">
        <v>794</v>
      </c>
    </row>
    <row r="199" ht="15.75" customHeight="1">
      <c r="A199" s="7" t="s">
        <v>272</v>
      </c>
      <c r="B199" s="7" t="s">
        <v>794</v>
      </c>
    </row>
    <row r="200" ht="15.75" customHeight="1">
      <c r="A200" s="7" t="s">
        <v>285</v>
      </c>
      <c r="B200" s="7" t="s">
        <v>794</v>
      </c>
    </row>
    <row r="201" ht="15.75" customHeight="1">
      <c r="A201" s="7" t="s">
        <v>305</v>
      </c>
      <c r="B201" s="7" t="s">
        <v>794</v>
      </c>
    </row>
    <row r="202" ht="15.75" customHeight="1">
      <c r="A202" s="7" t="s">
        <v>322</v>
      </c>
      <c r="B202" s="7" t="s">
        <v>794</v>
      </c>
    </row>
    <row r="203" ht="15.75" customHeight="1">
      <c r="A203" s="7" t="s">
        <v>332</v>
      </c>
      <c r="B203" s="7" t="s">
        <v>794</v>
      </c>
    </row>
    <row r="204" ht="15.75" customHeight="1">
      <c r="A204" s="7" t="s">
        <v>378</v>
      </c>
      <c r="B204" s="7" t="s">
        <v>797</v>
      </c>
    </row>
    <row r="205" ht="15.75" customHeight="1">
      <c r="A205" s="8" t="s">
        <v>401</v>
      </c>
      <c r="B205" s="7" t="s">
        <v>794</v>
      </c>
    </row>
    <row r="206" ht="15.75" customHeight="1">
      <c r="A206" s="7" t="s">
        <v>404</v>
      </c>
      <c r="B206" s="7" t="s">
        <v>794</v>
      </c>
    </row>
    <row r="207" ht="15.75" customHeight="1">
      <c r="A207" s="7" t="s">
        <v>406</v>
      </c>
      <c r="B207" s="7" t="s">
        <v>794</v>
      </c>
    </row>
    <row r="208" ht="15.75" customHeight="1">
      <c r="A208" s="8" t="s">
        <v>433</v>
      </c>
      <c r="B208" s="7" t="s">
        <v>794</v>
      </c>
    </row>
    <row r="209" ht="15.75" customHeight="1">
      <c r="A209" s="8" t="s">
        <v>458</v>
      </c>
      <c r="B209" s="7" t="s">
        <v>797</v>
      </c>
    </row>
    <row r="210" ht="15.75" customHeight="1">
      <c r="A210" s="8" t="s">
        <v>502</v>
      </c>
      <c r="B210" s="7" t="s">
        <v>794</v>
      </c>
    </row>
    <row r="211" ht="15.75" customHeight="1">
      <c r="A211" s="8" t="s">
        <v>514</v>
      </c>
      <c r="B211" s="7" t="s">
        <v>794</v>
      </c>
    </row>
    <row r="212" ht="15.75" customHeight="1">
      <c r="A212" s="8" t="s">
        <v>517</v>
      </c>
      <c r="B212" s="7" t="s">
        <v>794</v>
      </c>
    </row>
    <row r="213" ht="15.75" customHeight="1">
      <c r="A213" s="7" t="s">
        <v>520</v>
      </c>
      <c r="B213" s="7" t="s">
        <v>794</v>
      </c>
    </row>
    <row r="214" ht="15.75" customHeight="1">
      <c r="A214" s="8" t="s">
        <v>725</v>
      </c>
      <c r="B214" s="7" t="s">
        <v>794</v>
      </c>
    </row>
    <row r="215" ht="15.75" customHeight="1">
      <c r="A215" s="7" t="s">
        <v>757</v>
      </c>
      <c r="B215" s="7" t="s">
        <v>794</v>
      </c>
    </row>
    <row r="216" ht="15.75" customHeight="1">
      <c r="A216" s="7" t="s">
        <v>786</v>
      </c>
      <c r="B216" s="7" t="s">
        <v>797</v>
      </c>
    </row>
    <row r="217" ht="15.75" customHeight="1">
      <c r="A217" s="7" t="s">
        <v>739</v>
      </c>
      <c r="B217" s="7" t="s">
        <v>794</v>
      </c>
    </row>
    <row r="218" ht="15.75" customHeight="1">
      <c r="A218" s="8" t="s">
        <v>74</v>
      </c>
      <c r="B218" s="7" t="s">
        <v>794</v>
      </c>
    </row>
    <row r="219" ht="15.75" customHeight="1">
      <c r="A219" s="8" t="s">
        <v>529</v>
      </c>
      <c r="B219" s="7" t="s">
        <v>794</v>
      </c>
    </row>
    <row r="220" ht="15.75" customHeight="1">
      <c r="A220" s="8" t="s">
        <v>555</v>
      </c>
      <c r="B220" s="7" t="s">
        <v>794</v>
      </c>
    </row>
    <row r="221" ht="15.75" customHeight="1">
      <c r="A221" s="8" t="s">
        <v>585</v>
      </c>
      <c r="B221" s="7" t="s">
        <v>794</v>
      </c>
    </row>
    <row r="222" ht="15.75" customHeight="1">
      <c r="A222" s="8" t="s">
        <v>590</v>
      </c>
      <c r="B222" s="7" t="s">
        <v>794</v>
      </c>
    </row>
    <row r="223" ht="15.75" customHeight="1">
      <c r="A223" s="8" t="s">
        <v>625</v>
      </c>
      <c r="B223" s="7" t="s">
        <v>794</v>
      </c>
    </row>
    <row r="224" ht="15.75" customHeight="1">
      <c r="A224" s="7" t="s">
        <v>637</v>
      </c>
      <c r="B224" s="7" t="s">
        <v>794</v>
      </c>
    </row>
    <row r="225" ht="15.75" customHeight="1">
      <c r="A225" s="8" t="s">
        <v>645</v>
      </c>
      <c r="B225" s="7" t="s">
        <v>794</v>
      </c>
    </row>
    <row r="226" ht="15.75" customHeight="1">
      <c r="A226" s="8" t="s">
        <v>655</v>
      </c>
      <c r="B226" s="7" t="s">
        <v>794</v>
      </c>
    </row>
    <row r="227" ht="15.75" customHeight="1">
      <c r="A227" s="7" t="s">
        <v>661</v>
      </c>
      <c r="B227" s="7" t="s">
        <v>794</v>
      </c>
    </row>
    <row r="228" ht="15.75" customHeight="1">
      <c r="A228" s="8" t="s">
        <v>688</v>
      </c>
      <c r="B228" s="7" t="s">
        <v>794</v>
      </c>
    </row>
    <row r="229" ht="15.75" customHeight="1">
      <c r="A229" s="8" t="s">
        <v>721</v>
      </c>
      <c r="B229" s="7" t="s">
        <v>794</v>
      </c>
    </row>
    <row r="230" ht="15.75" customHeight="1">
      <c r="A230" s="8" t="s">
        <v>723</v>
      </c>
      <c r="B230" s="7" t="s">
        <v>794</v>
      </c>
    </row>
    <row r="231" ht="15.75" customHeight="1">
      <c r="A231" s="7" t="s">
        <v>732</v>
      </c>
      <c r="B231" s="7" t="s">
        <v>798</v>
      </c>
    </row>
    <row r="232" ht="15.75" customHeight="1">
      <c r="A232" s="8" t="s">
        <v>729</v>
      </c>
      <c r="B232" s="7" t="s">
        <v>794</v>
      </c>
    </row>
    <row r="233" ht="15.75" customHeight="1">
      <c r="A233" s="8" t="s">
        <v>746</v>
      </c>
      <c r="B233" s="7" t="s">
        <v>797</v>
      </c>
    </row>
    <row r="234" ht="15.75" customHeight="1">
      <c r="A234" s="7" t="s">
        <v>755</v>
      </c>
      <c r="B234" s="7" t="s">
        <v>797</v>
      </c>
    </row>
    <row r="235" ht="15.75" customHeight="1">
      <c r="A235" s="8" t="s">
        <v>101</v>
      </c>
      <c r="B235" s="7" t="s">
        <v>794</v>
      </c>
    </row>
    <row r="236" ht="15.75" customHeight="1">
      <c r="A236" s="8" t="s">
        <v>67</v>
      </c>
      <c r="B236" s="7" t="s">
        <v>794</v>
      </c>
    </row>
    <row r="237" ht="15.75" customHeight="1">
      <c r="A237" s="8" t="s">
        <v>678</v>
      </c>
      <c r="B237" s="7" t="s">
        <v>794</v>
      </c>
    </row>
    <row r="238" ht="15.75" customHeight="1">
      <c r="A238" s="8" t="s">
        <v>657</v>
      </c>
      <c r="B238" s="7" t="s">
        <v>794</v>
      </c>
    </row>
    <row r="239" ht="15.75" customHeight="1">
      <c r="A239" s="8" t="s">
        <v>642</v>
      </c>
      <c r="B239" s="7" t="s">
        <v>794</v>
      </c>
    </row>
    <row r="240" ht="15.75" customHeight="1">
      <c r="A240" s="8" t="s">
        <v>636</v>
      </c>
      <c r="B240" s="7" t="s">
        <v>794</v>
      </c>
    </row>
    <row r="241" ht="15.75" customHeight="1">
      <c r="A241" s="7" t="s">
        <v>535</v>
      </c>
      <c r="B241" s="7" t="s">
        <v>794</v>
      </c>
    </row>
    <row r="242" ht="15.75" customHeight="1">
      <c r="A242" s="8" t="s">
        <v>399</v>
      </c>
      <c r="B242" s="7" t="s">
        <v>794</v>
      </c>
    </row>
    <row r="243" ht="15.75" customHeight="1">
      <c r="A243" s="8" t="s">
        <v>219</v>
      </c>
      <c r="B243" s="7" t="s">
        <v>794</v>
      </c>
    </row>
    <row r="244" ht="15.75" customHeight="1">
      <c r="A244" s="8" t="s">
        <v>129</v>
      </c>
      <c r="B244" s="7" t="s">
        <v>797</v>
      </c>
    </row>
    <row r="245" ht="15.75" customHeight="1">
      <c r="A245" s="8" t="s">
        <v>106</v>
      </c>
      <c r="B245" s="7" t="s">
        <v>794</v>
      </c>
    </row>
    <row r="246" ht="15.75" customHeight="1">
      <c r="A246" s="8" t="s">
        <v>549</v>
      </c>
      <c r="B246" s="7" t="s">
        <v>794</v>
      </c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autoFilter ref="$A$1:$B$246">
    <sortState ref="A1:B246">
      <sortCondition ref="A1:A246"/>
    </sortState>
  </autoFilter>
  <printOptions/>
  <pageMargins bottom="0.75" footer="0.0" header="0.0" left="0.7" right="0.7" top="0.75"/>
  <pageSetup orientation="landscape"/>
  <drawing r:id="rId1"/>
</worksheet>
</file>